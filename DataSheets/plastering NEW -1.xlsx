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405" windowWidth="20730" windowHeight="11760"/>
  </bookViews>
  <sheets>
    <sheet name="RATIO 1-6" sheetId="1" r:id="rId1"/>
    <sheet name="RATIO 1-4" sheetId="4" r:id="rId2"/>
    <sheet name="RATIO 1-5" sheetId="5" r:id="rId3"/>
    <sheet name="CELING 1-4 " sheetId="7" r:id="rId4"/>
    <sheet name="CELING 1-3" sheetId="6" r:id="rId5"/>
    <sheet name="CELING 1-2" sheetId="8" r:id="rId6"/>
  </sheets>
  <calcPr calcId="144525"/>
</workbook>
</file>

<file path=xl/calcChain.xml><?xml version="1.0" encoding="utf-8"?>
<calcChain xmlns="http://schemas.openxmlformats.org/spreadsheetml/2006/main">
  <c r="E29" i="1" l="1"/>
  <c r="F29" i="1" s="1"/>
  <c r="E28" i="1"/>
  <c r="F28" i="1" s="1"/>
  <c r="E27" i="1"/>
  <c r="F27" i="1" s="1"/>
  <c r="B29" i="1"/>
  <c r="B28" i="1"/>
  <c r="B27" i="1"/>
  <c r="D29" i="1"/>
  <c r="D28" i="1"/>
  <c r="D27" i="1"/>
  <c r="B23" i="1"/>
  <c r="B22" i="1"/>
  <c r="B21" i="1"/>
  <c r="C17" i="1"/>
  <c r="E17" i="1" s="1"/>
  <c r="D23" i="1" s="1"/>
  <c r="E23" i="1" s="1"/>
  <c r="C16" i="1"/>
  <c r="E16" i="1" s="1"/>
  <c r="D22" i="1" s="1"/>
  <c r="E22" i="1" s="1"/>
  <c r="C15" i="1"/>
  <c r="E15" i="1" s="1"/>
  <c r="D21" i="1" s="1"/>
  <c r="E21" i="1" s="1"/>
  <c r="E14" i="1"/>
  <c r="I14" i="8"/>
  <c r="B20" i="8" s="1"/>
  <c r="E14" i="8"/>
  <c r="D20" i="8" s="1"/>
  <c r="D17" i="7"/>
  <c r="E17" i="7" s="1"/>
  <c r="B17" i="7"/>
  <c r="I14" i="7"/>
  <c r="B20" i="7" s="1"/>
  <c r="E14" i="7"/>
  <c r="D20" i="7" s="1"/>
  <c r="I14" i="6"/>
  <c r="B20" i="6" s="1"/>
  <c r="E14" i="6"/>
  <c r="D20" i="6" s="1"/>
  <c r="D17" i="5"/>
  <c r="E17" i="5" s="1"/>
  <c r="B17" i="5"/>
  <c r="I14" i="5"/>
  <c r="B20" i="5" s="1"/>
  <c r="E14" i="5"/>
  <c r="D20" i="5" s="1"/>
  <c r="B20" i="4"/>
  <c r="B17" i="4"/>
  <c r="I14" i="4"/>
  <c r="E14" i="4"/>
  <c r="D20" i="4" s="1"/>
  <c r="G23" i="1" l="1"/>
  <c r="H23" i="1" s="1"/>
  <c r="I23" i="1" s="1"/>
  <c r="G22" i="1"/>
  <c r="H22" i="1" s="1"/>
  <c r="I22" i="1" s="1"/>
  <c r="G21" i="1"/>
  <c r="H21" i="1" s="1"/>
  <c r="I21" i="1" s="1"/>
  <c r="E20" i="8"/>
  <c r="F20" i="8" s="1"/>
  <c r="G20" i="8" s="1"/>
  <c r="B17" i="6"/>
  <c r="B17" i="8"/>
  <c r="D17" i="8"/>
  <c r="E17" i="8" s="1"/>
  <c r="G17" i="8" s="1"/>
  <c r="H17" i="8" s="1"/>
  <c r="I17" i="8" s="1"/>
  <c r="E20" i="5"/>
  <c r="F20" i="5" s="1"/>
  <c r="G20" i="5" s="1"/>
  <c r="E20" i="7"/>
  <c r="F20" i="7" s="1"/>
  <c r="G20" i="7" s="1"/>
  <c r="G17" i="7"/>
  <c r="H17" i="7" s="1"/>
  <c r="I17" i="7" s="1"/>
  <c r="E20" i="6"/>
  <c r="F20" i="6" s="1"/>
  <c r="G20" i="6" s="1"/>
  <c r="D17" i="6"/>
  <c r="E17" i="6" s="1"/>
  <c r="G17" i="6" s="1"/>
  <c r="H17" i="6" s="1"/>
  <c r="I17" i="6" s="1"/>
  <c r="G17" i="5"/>
  <c r="H17" i="5" s="1"/>
  <c r="I17" i="5" s="1"/>
  <c r="E20" i="4"/>
  <c r="F20" i="4" s="1"/>
  <c r="G20" i="4" s="1"/>
  <c r="D17" i="4"/>
  <c r="E17" i="4" s="1"/>
  <c r="G17" i="4" s="1"/>
  <c r="H17" i="4" s="1"/>
  <c r="I17" i="4" s="1"/>
  <c r="I14" i="1"/>
  <c r="B26" i="1" s="1"/>
  <c r="B20" i="1" l="1"/>
  <c r="D20" i="1"/>
  <c r="D26" i="1"/>
  <c r="E26" i="1" s="1"/>
  <c r="F26" i="1" s="1"/>
  <c r="G26" i="1" s="1"/>
  <c r="E20" i="1" l="1"/>
  <c r="G20" i="1" s="1"/>
  <c r="H20" i="1" s="1"/>
  <c r="I20" i="1" s="1"/>
</calcChain>
</file>

<file path=xl/sharedStrings.xml><?xml version="1.0" encoding="utf-8"?>
<sst xmlns="http://schemas.openxmlformats.org/spreadsheetml/2006/main" count="261" uniqueCount="59">
  <si>
    <t>PLASTERING QUANTITY ESTIMATION</t>
  </si>
  <si>
    <t xml:space="preserve">celling Ratio </t>
  </si>
  <si>
    <t>1:2</t>
  </si>
  <si>
    <t>1:3</t>
  </si>
  <si>
    <t>1:4</t>
  </si>
  <si>
    <t xml:space="preserve">10 mm thickness </t>
  </si>
  <si>
    <t>Brick work</t>
  </si>
  <si>
    <t xml:space="preserve">20 mm thickness </t>
  </si>
  <si>
    <t>1:6</t>
  </si>
  <si>
    <t>External</t>
  </si>
  <si>
    <t>internal</t>
  </si>
  <si>
    <t>Length Feet</t>
  </si>
  <si>
    <t>Breath Feet</t>
  </si>
  <si>
    <t>HightFeet</t>
  </si>
  <si>
    <t>Volume cft</t>
  </si>
  <si>
    <t>\</t>
  </si>
  <si>
    <t>1:5</t>
  </si>
  <si>
    <t>Plastering  External with  1: 6 ratio</t>
  </si>
  <si>
    <t>1/4</t>
  </si>
  <si>
    <t>DRY TO WET</t>
  </si>
  <si>
    <t>volume cft</t>
  </si>
  <si>
    <t>Density</t>
  </si>
  <si>
    <t>Cement  Kg</t>
  </si>
  <si>
    <t>Cement bag</t>
  </si>
  <si>
    <t>Rounded bag</t>
  </si>
  <si>
    <t>rpnkz;l;</t>
  </si>
  <si>
    <t>1/7</t>
  </si>
  <si>
    <t>Ratio</t>
  </si>
  <si>
    <t>Ratio total</t>
  </si>
  <si>
    <r>
      <t>voluume cft/35.28 =Volumem</t>
    </r>
    <r>
      <rPr>
        <b/>
        <vertAlign val="superscript"/>
        <sz val="11"/>
        <color theme="1"/>
        <rFont val="Arial Black"/>
        <family val="2"/>
      </rPr>
      <t>3</t>
    </r>
  </si>
  <si>
    <t>kzy;</t>
  </si>
  <si>
    <t>6/7</t>
  </si>
  <si>
    <r>
      <t>[y;yp Njit fd msT (</t>
    </r>
    <r>
      <rPr>
        <b/>
        <sz val="11"/>
        <color theme="1"/>
        <rFont val="Arial"/>
        <family val="2"/>
      </rPr>
      <t>cft)</t>
    </r>
  </si>
  <si>
    <r>
      <t>[y;yp Njit fd msT (</t>
    </r>
    <r>
      <rPr>
        <b/>
        <sz val="11"/>
        <color theme="1"/>
        <rFont val="Arial"/>
        <family val="2"/>
      </rPr>
      <t>unit)</t>
    </r>
  </si>
  <si>
    <r>
      <t>[y;yp  Njit fd msT (</t>
    </r>
    <r>
      <rPr>
        <b/>
        <sz val="11"/>
        <color theme="1"/>
        <rFont val="Arial"/>
        <family val="2"/>
      </rPr>
      <t>unit)</t>
    </r>
  </si>
  <si>
    <t>2/4</t>
  </si>
  <si>
    <t>Plastering  Internal with  1: 4 ratio</t>
  </si>
  <si>
    <t>Plastering  Internal with  1: 5 ratio</t>
  </si>
  <si>
    <t>1/6</t>
  </si>
  <si>
    <t>1/5</t>
  </si>
  <si>
    <t>4/5</t>
  </si>
  <si>
    <t>5/6</t>
  </si>
  <si>
    <t>Plastering  Celing with  1: 4 ratio</t>
  </si>
  <si>
    <t>Plastering  Celing with  1: 3 ratio</t>
  </si>
  <si>
    <t>3/4</t>
  </si>
  <si>
    <t>Plastering  Celing with  1: 2 ratio</t>
  </si>
  <si>
    <t>1/3</t>
  </si>
  <si>
    <t>ceiling</t>
  </si>
  <si>
    <t>Ceiling</t>
  </si>
  <si>
    <t>10</t>
  </si>
  <si>
    <t>Ceiling PlasterThickness in mm</t>
  </si>
  <si>
    <t>Innerwall PlasterThickness in mm</t>
  </si>
  <si>
    <t>Outerwall PlasterThickness in mm</t>
  </si>
  <si>
    <t>Innerwall</t>
  </si>
  <si>
    <t>OuterWall</t>
  </si>
  <si>
    <t>Doors Area</t>
  </si>
  <si>
    <t>Windows Area</t>
  </si>
  <si>
    <t>innerwall</t>
  </si>
  <si>
    <t>outerwall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</si>
</sst>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4"/>
      <color theme="1"/>
      <name val="Arial Black"/>
      <family val="2"/>
    </font>
    <font>
      <b/>
      <sz val="11"/>
      <color theme="1"/>
      <name val="SunTommy"/>
    </font>
    <font>
      <b/>
      <sz val="11"/>
      <color theme="1"/>
      <name val="Arial"/>
      <family val="2"/>
    </font>
    <font>
      <b/>
      <sz val="11"/>
      <color theme="1"/>
      <name val="Arial Black"/>
      <family val="2"/>
    </font>
    <font>
      <b/>
      <vertAlign val="superscript"/>
      <sz val="11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4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vertical="center"/>
    </xf>
    <xf numFmtId="0" fontId="0" fillId="4" borderId="0" xfId="0" applyFill="1"/>
    <xf numFmtId="49" fontId="2" fillId="4" borderId="0" xfId="0" applyNumberFormat="1" applyFont="1" applyFill="1"/>
    <xf numFmtId="0" fontId="2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topLeftCell="A14" workbookViewId="0">
      <selection activeCell="C6" sqref="C6"/>
    </sheetView>
  </sheetViews>
  <sheetFormatPr defaultRowHeight="15"/>
  <cols>
    <col min="1" max="1" width="14.28515625" bestFit="1" customWidth="1"/>
    <col min="2" max="2" width="17" bestFit="1" customWidth="1"/>
    <col min="3" max="3" width="15.42578125" bestFit="1" customWidth="1"/>
    <col min="4" max="4" width="22.42578125" bestFit="1" customWidth="1"/>
    <col min="5" max="5" width="41.28515625" customWidth="1"/>
    <col min="6" max="6" width="10.140625" bestFit="1" customWidth="1"/>
    <col min="7" max="7" width="17.140625" bestFit="1" customWidth="1"/>
    <col min="8" max="8" width="22.42578125" bestFit="1" customWidth="1"/>
    <col min="9" max="9" width="16.7109375" bestFit="1" customWidth="1"/>
  </cols>
  <sheetData>
    <row r="1" spans="1:9" ht="22.5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>
      <c r="C2" s="27"/>
      <c r="D2" s="27"/>
      <c r="E2" s="27"/>
      <c r="F2" s="27"/>
      <c r="G2" s="27"/>
    </row>
    <row r="3" spans="1:9" s="1" customFormat="1" ht="18.75">
      <c r="B3" s="32" t="s">
        <v>1</v>
      </c>
      <c r="C3" s="15" t="s">
        <v>2</v>
      </c>
      <c r="D3" s="14" t="s">
        <v>5</v>
      </c>
      <c r="E3" s="2" t="s">
        <v>50</v>
      </c>
      <c r="F3" s="2" t="s">
        <v>49</v>
      </c>
      <c r="G3" s="2"/>
      <c r="H3" s="1" t="s">
        <v>15</v>
      </c>
    </row>
    <row r="4" spans="1:9" ht="18.75">
      <c r="B4" s="33"/>
      <c r="C4" s="15" t="s">
        <v>3</v>
      </c>
      <c r="D4" s="14" t="s">
        <v>5</v>
      </c>
      <c r="E4" s="3" t="s">
        <v>51</v>
      </c>
      <c r="F4" s="3">
        <v>12</v>
      </c>
    </row>
    <row r="5" spans="1:9" ht="18.75">
      <c r="B5" s="34"/>
      <c r="C5" s="15" t="s">
        <v>4</v>
      </c>
      <c r="D5" s="14" t="s">
        <v>5</v>
      </c>
      <c r="E5" s="3" t="s">
        <v>52</v>
      </c>
      <c r="F5" s="3">
        <v>20</v>
      </c>
    </row>
    <row r="6" spans="1:9" s="2" customFormat="1" ht="18.75">
      <c r="A6" s="17"/>
      <c r="B6" s="18"/>
      <c r="C6" s="18"/>
      <c r="D6" s="18"/>
      <c r="E6" s="18"/>
      <c r="F6" s="18"/>
      <c r="G6" s="18"/>
      <c r="H6" s="18"/>
      <c r="I6" s="17"/>
    </row>
    <row r="7" spans="1:9" ht="18.75">
      <c r="A7" s="28" t="s">
        <v>6</v>
      </c>
      <c r="B7" s="16" t="s">
        <v>9</v>
      </c>
      <c r="C7" s="15" t="s">
        <v>8</v>
      </c>
      <c r="D7" s="14" t="s">
        <v>7</v>
      </c>
      <c r="E7" s="3" t="s">
        <v>56</v>
      </c>
      <c r="F7" s="3">
        <v>24</v>
      </c>
    </row>
    <row r="8" spans="1:9" ht="18.75">
      <c r="A8" s="28"/>
      <c r="B8" s="35"/>
      <c r="C8" s="35"/>
      <c r="D8" s="35"/>
      <c r="E8" s="3" t="s">
        <v>55</v>
      </c>
      <c r="F8" s="3">
        <v>48</v>
      </c>
    </row>
    <row r="9" spans="1:9" ht="18.75">
      <c r="A9" s="28"/>
      <c r="B9" s="35" t="s">
        <v>10</v>
      </c>
      <c r="C9" s="15" t="s">
        <v>4</v>
      </c>
      <c r="D9" s="14" t="s">
        <v>5</v>
      </c>
    </row>
    <row r="10" spans="1:9" ht="18.75">
      <c r="A10" s="28"/>
      <c r="B10" s="35"/>
      <c r="C10" s="15" t="s">
        <v>16</v>
      </c>
      <c r="D10" s="14" t="s">
        <v>5</v>
      </c>
    </row>
    <row r="11" spans="1:9" ht="18.75">
      <c r="A11" s="19"/>
      <c r="B11" s="19"/>
      <c r="C11" s="17"/>
      <c r="D11" s="20"/>
      <c r="E11" s="19"/>
      <c r="F11" s="19"/>
      <c r="G11" s="19"/>
      <c r="H11" s="19"/>
      <c r="I11" s="19"/>
    </row>
    <row r="12" spans="1:9" s="5" customFormat="1" ht="22.5">
      <c r="A12" s="29" t="s">
        <v>17</v>
      </c>
      <c r="B12" s="30"/>
      <c r="C12" s="30"/>
      <c r="D12" s="30"/>
      <c r="E12" s="30"/>
      <c r="F12" s="30"/>
      <c r="G12" s="30"/>
      <c r="H12" s="30"/>
      <c r="I12" s="31"/>
    </row>
    <row r="13" spans="1:9" s="3" customFormat="1" ht="18.75">
      <c r="A13" s="7"/>
      <c r="B13" s="7" t="s">
        <v>11</v>
      </c>
      <c r="C13" s="7" t="s">
        <v>12</v>
      </c>
      <c r="D13" s="7" t="s">
        <v>13</v>
      </c>
      <c r="E13" s="7" t="s">
        <v>14</v>
      </c>
      <c r="F13" s="7"/>
      <c r="G13" s="28" t="s">
        <v>27</v>
      </c>
      <c r="H13" s="28"/>
      <c r="I13" s="7" t="s">
        <v>28</v>
      </c>
    </row>
    <row r="14" spans="1:9" s="3" customFormat="1" ht="18.75">
      <c r="A14" s="7"/>
      <c r="B14" s="7">
        <v>10</v>
      </c>
      <c r="C14" s="7">
        <v>0.75</v>
      </c>
      <c r="D14" s="7">
        <v>10</v>
      </c>
      <c r="E14" s="22">
        <f>(B14*C14*D14)</f>
        <v>75</v>
      </c>
      <c r="F14" s="7"/>
      <c r="G14" s="22">
        <v>1</v>
      </c>
      <c r="H14" s="22">
        <v>6</v>
      </c>
      <c r="I14" s="22">
        <f>(G14+H14)</f>
        <v>7</v>
      </c>
    </row>
    <row r="15" spans="1:9" s="3" customFormat="1" ht="18.75">
      <c r="A15" s="37" t="s">
        <v>48</v>
      </c>
      <c r="B15" s="37">
        <v>8</v>
      </c>
      <c r="C15" s="23">
        <f>(F3/12)</f>
        <v>0.83333333333333337</v>
      </c>
      <c r="D15" s="37">
        <v>8</v>
      </c>
      <c r="E15" s="22">
        <f>(B15*D15*C15)</f>
        <v>53.333333333333336</v>
      </c>
      <c r="F15" s="37"/>
      <c r="G15" s="40">
        <v>1</v>
      </c>
      <c r="H15" s="40">
        <v>4</v>
      </c>
      <c r="I15" s="40">
        <v>5</v>
      </c>
    </row>
    <row r="16" spans="1:9" s="3" customFormat="1" ht="18.75">
      <c r="A16" s="37" t="s">
        <v>53</v>
      </c>
      <c r="B16" s="37">
        <v>8</v>
      </c>
      <c r="C16" s="23">
        <f>(F4/12)</f>
        <v>1</v>
      </c>
      <c r="D16" s="37">
        <v>11</v>
      </c>
      <c r="E16" s="22">
        <f>(4*B16*D16)-(F7+F8)*C16</f>
        <v>280</v>
      </c>
      <c r="F16" s="37"/>
      <c r="G16" s="40">
        <v>1</v>
      </c>
      <c r="H16" s="40">
        <v>5</v>
      </c>
      <c r="I16" s="40">
        <v>6</v>
      </c>
    </row>
    <row r="17" spans="1:9" s="3" customFormat="1" ht="18.75">
      <c r="A17" s="37" t="s">
        <v>54</v>
      </c>
      <c r="B17" s="37">
        <v>8.75</v>
      </c>
      <c r="C17" s="23">
        <f>(F5/12)</f>
        <v>1.6666666666666667</v>
      </c>
      <c r="D17" s="37">
        <v>11</v>
      </c>
      <c r="E17" s="22">
        <f>((4*B17*D17)-(F7+F8))*C17</f>
        <v>521.66666666666674</v>
      </c>
      <c r="F17" s="37"/>
      <c r="G17" s="40">
        <v>1</v>
      </c>
      <c r="H17" s="40">
        <v>6</v>
      </c>
      <c r="I17" s="40">
        <v>7</v>
      </c>
    </row>
    <row r="18" spans="1:9" s="3" customFormat="1" ht="18.75">
      <c r="A18" s="21"/>
      <c r="B18" s="21"/>
      <c r="C18" s="21"/>
      <c r="D18" s="21"/>
      <c r="E18" s="21"/>
      <c r="F18" s="21"/>
      <c r="G18" s="21"/>
      <c r="H18" s="21"/>
      <c r="I18" s="21"/>
    </row>
    <row r="19" spans="1:9" s="4" customFormat="1" ht="57">
      <c r="A19" s="24" t="s">
        <v>25</v>
      </c>
      <c r="B19" s="10" t="s">
        <v>26</v>
      </c>
      <c r="C19" s="11" t="s">
        <v>19</v>
      </c>
      <c r="D19" s="11" t="s">
        <v>20</v>
      </c>
      <c r="E19" s="12" t="s">
        <v>29</v>
      </c>
      <c r="F19" s="11" t="s">
        <v>21</v>
      </c>
      <c r="G19" s="11" t="s">
        <v>22</v>
      </c>
      <c r="H19" s="11" t="s">
        <v>23</v>
      </c>
      <c r="I19" s="11" t="s">
        <v>24</v>
      </c>
    </row>
    <row r="20" spans="1:9" ht="18.75">
      <c r="A20" s="25"/>
      <c r="B20" s="7">
        <f>(G14/I14)</f>
        <v>0.14285714285714285</v>
      </c>
      <c r="C20" s="7">
        <v>1.54</v>
      </c>
      <c r="D20" s="8">
        <f>E14</f>
        <v>75</v>
      </c>
      <c r="E20" s="7">
        <f>(D20/35.28)</f>
        <v>2.1258503401360542</v>
      </c>
      <c r="F20" s="7">
        <v>1440</v>
      </c>
      <c r="G20" s="7">
        <f>(B20*C20*E20*F20)</f>
        <v>673.46938775510193</v>
      </c>
      <c r="H20" s="7">
        <f>(G20/50)</f>
        <v>13.469387755102039</v>
      </c>
      <c r="I20" s="9">
        <f>ROUND(H20,0)</f>
        <v>13</v>
      </c>
    </row>
    <row r="21" spans="1:9" ht="18.75">
      <c r="A21" s="36" t="s">
        <v>47</v>
      </c>
      <c r="B21" s="23">
        <f>(G15/I15)</f>
        <v>0.2</v>
      </c>
      <c r="C21" s="37">
        <v>1.33</v>
      </c>
      <c r="D21" s="8">
        <f>E15</f>
        <v>53.333333333333336</v>
      </c>
      <c r="E21" s="23">
        <f>(D21/35.28)</f>
        <v>1.5117157974300832</v>
      </c>
      <c r="F21" s="37">
        <v>1440</v>
      </c>
      <c r="G21" s="23">
        <f>(B21*C21*E21*F21)</f>
        <v>579.04761904761915</v>
      </c>
      <c r="H21" s="23">
        <f>(G21/50)</f>
        <v>11.580952380952382</v>
      </c>
      <c r="I21" s="9">
        <f>ROUND(H21,0)</f>
        <v>12</v>
      </c>
    </row>
    <row r="22" spans="1:9" ht="18.75">
      <c r="A22" s="36" t="s">
        <v>57</v>
      </c>
      <c r="B22" s="23">
        <f>(G16/I16)</f>
        <v>0.16666666666666666</v>
      </c>
      <c r="C22" s="37">
        <v>1.33</v>
      </c>
      <c r="D22" s="8">
        <f>E16</f>
        <v>280</v>
      </c>
      <c r="E22" s="23">
        <f>(D22/35.28)</f>
        <v>7.9365079365079358</v>
      </c>
      <c r="F22" s="37">
        <v>1440</v>
      </c>
      <c r="G22" s="23">
        <f>(B22*C22*E22*F22)</f>
        <v>2533.3333333333335</v>
      </c>
      <c r="H22" s="23">
        <f>(G22/50)</f>
        <v>50.666666666666671</v>
      </c>
      <c r="I22" s="9">
        <f>ROUND(H22,0)</f>
        <v>51</v>
      </c>
    </row>
    <row r="23" spans="1:9" ht="18.75">
      <c r="A23" s="36" t="s">
        <v>58</v>
      </c>
      <c r="B23" s="23">
        <f>(G17/I17)</f>
        <v>0.14285714285714285</v>
      </c>
      <c r="C23" s="37">
        <v>1.33</v>
      </c>
      <c r="D23" s="8">
        <f>E17</f>
        <v>521.66666666666674</v>
      </c>
      <c r="E23" s="23">
        <f>(D23/35.28)</f>
        <v>14.786470143613002</v>
      </c>
      <c r="F23" s="37">
        <v>1440</v>
      </c>
      <c r="G23" s="23">
        <f>(B23*C23*E23*F23)</f>
        <v>4045.5782312925176</v>
      </c>
      <c r="H23" s="23">
        <f>(G23/50)</f>
        <v>80.911564625850346</v>
      </c>
      <c r="I23" s="9">
        <f>ROUND(H23,0)</f>
        <v>81</v>
      </c>
    </row>
    <row r="24" spans="1:9">
      <c r="A24" s="19"/>
      <c r="B24" s="19"/>
      <c r="C24" s="19"/>
      <c r="D24" s="19"/>
      <c r="E24" s="19"/>
      <c r="F24" s="19"/>
      <c r="G24" s="19"/>
      <c r="H24" s="19"/>
      <c r="I24" s="19"/>
    </row>
    <row r="25" spans="1:9" ht="45">
      <c r="A25" s="24" t="s">
        <v>30</v>
      </c>
      <c r="B25" s="10" t="s">
        <v>31</v>
      </c>
      <c r="C25" s="6" t="s">
        <v>19</v>
      </c>
      <c r="D25" s="6" t="s">
        <v>20</v>
      </c>
      <c r="E25" s="13" t="s">
        <v>32</v>
      </c>
      <c r="F25" s="13" t="s">
        <v>33</v>
      </c>
      <c r="G25" s="13" t="s">
        <v>34</v>
      </c>
      <c r="H25" s="13"/>
      <c r="I25" s="11"/>
    </row>
    <row r="26" spans="1:9" ht="29.25" customHeight="1">
      <c r="A26" s="25"/>
      <c r="B26" s="7">
        <f>(H14/I14)</f>
        <v>0.8571428571428571</v>
      </c>
      <c r="C26" s="7">
        <v>1.54</v>
      </c>
      <c r="D26" s="8">
        <f>E14</f>
        <v>75</v>
      </c>
      <c r="E26" s="7">
        <f>(B26*C26*D26)</f>
        <v>99</v>
      </c>
      <c r="F26" s="7">
        <f>(E26/100)</f>
        <v>0.99</v>
      </c>
      <c r="G26" s="9">
        <f>ROUNDUP(F26,0)</f>
        <v>1</v>
      </c>
      <c r="H26" s="7"/>
      <c r="I26" s="8"/>
    </row>
    <row r="27" spans="1:9" ht="29.25" customHeight="1">
      <c r="A27" s="36" t="s">
        <v>47</v>
      </c>
      <c r="B27" s="23">
        <f>(H15/I15)</f>
        <v>0.8</v>
      </c>
      <c r="C27" s="37">
        <v>1.33</v>
      </c>
      <c r="D27" s="8">
        <f>E15</f>
        <v>53.333333333333336</v>
      </c>
      <c r="E27" s="23">
        <f>(B27*C27*D27)</f>
        <v>56.74666666666667</v>
      </c>
      <c r="F27" s="23">
        <f>(E27/100)</f>
        <v>0.56746666666666667</v>
      </c>
      <c r="G27" s="39"/>
      <c r="H27" s="37"/>
      <c r="I27" s="38"/>
    </row>
    <row r="28" spans="1:9" ht="29.25" customHeight="1">
      <c r="A28" s="36" t="s">
        <v>57</v>
      </c>
      <c r="B28" s="23">
        <f>(H16/I16)</f>
        <v>0.83333333333333337</v>
      </c>
      <c r="C28" s="37">
        <v>1.33</v>
      </c>
      <c r="D28" s="8">
        <f>E16</f>
        <v>280</v>
      </c>
      <c r="E28" s="23">
        <f>(B28*C28*D28)</f>
        <v>310.33333333333337</v>
      </c>
      <c r="F28" s="23">
        <f>(E28/100)</f>
        <v>3.1033333333333335</v>
      </c>
      <c r="G28" s="39"/>
      <c r="H28" s="37"/>
      <c r="I28" s="38"/>
    </row>
    <row r="29" spans="1:9" ht="29.25" customHeight="1">
      <c r="A29" s="36" t="s">
        <v>58</v>
      </c>
      <c r="B29" s="23">
        <f>(H17/I17)</f>
        <v>0.8571428571428571</v>
      </c>
      <c r="C29" s="37">
        <v>1.33</v>
      </c>
      <c r="D29" s="8">
        <f>E17</f>
        <v>521.66666666666674</v>
      </c>
      <c r="E29" s="23">
        <f>(B29*C29*D29)</f>
        <v>594.70000000000005</v>
      </c>
      <c r="F29" s="23">
        <f>(E29/100)</f>
        <v>5.9470000000000001</v>
      </c>
      <c r="G29" s="39"/>
      <c r="H29" s="37"/>
      <c r="I29" s="38"/>
    </row>
  </sheetData>
  <mergeCells count="10">
    <mergeCell ref="A25:A26"/>
    <mergeCell ref="A19:A20"/>
    <mergeCell ref="A1:I1"/>
    <mergeCell ref="C2:G2"/>
    <mergeCell ref="G13:H13"/>
    <mergeCell ref="A12:I12"/>
    <mergeCell ref="B3:B5"/>
    <mergeCell ref="B9:B10"/>
    <mergeCell ref="A7:A10"/>
    <mergeCell ref="B8:D8"/>
  </mergeCells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B20" sqref="B20"/>
    </sheetView>
  </sheetViews>
  <sheetFormatPr defaultRowHeight="15"/>
  <cols>
    <col min="1" max="1" width="14.28515625" bestFit="1" customWidth="1"/>
    <col min="2" max="2" width="17" bestFit="1" customWidth="1"/>
    <col min="3" max="3" width="15.42578125" bestFit="1" customWidth="1"/>
    <col min="4" max="4" width="22.42578125" bestFit="1" customWidth="1"/>
    <col min="5" max="5" width="21.140625" bestFit="1" customWidth="1"/>
    <col min="6" max="6" width="10.140625" bestFit="1" customWidth="1"/>
    <col min="7" max="7" width="17.140625" bestFit="1" customWidth="1"/>
    <col min="8" max="8" width="22.42578125" bestFit="1" customWidth="1"/>
    <col min="9" max="9" width="16.7109375" bestFit="1" customWidth="1"/>
  </cols>
  <sheetData>
    <row r="1" spans="1:9" ht="22.5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>
      <c r="C2" s="27"/>
      <c r="D2" s="27"/>
      <c r="E2" s="27"/>
      <c r="F2" s="27"/>
      <c r="G2" s="27"/>
    </row>
    <row r="3" spans="1:9" s="1" customFormat="1" ht="18.75">
      <c r="B3" s="32" t="s">
        <v>1</v>
      </c>
      <c r="C3" s="15" t="s">
        <v>2</v>
      </c>
      <c r="D3" s="14" t="s">
        <v>5</v>
      </c>
      <c r="E3" s="2"/>
      <c r="F3" s="2"/>
      <c r="G3" s="2"/>
      <c r="H3" s="1" t="s">
        <v>15</v>
      </c>
    </row>
    <row r="4" spans="1:9" ht="18.75">
      <c r="B4" s="33"/>
      <c r="C4" s="15" t="s">
        <v>3</v>
      </c>
      <c r="D4" s="14" t="s">
        <v>5</v>
      </c>
    </row>
    <row r="5" spans="1:9" ht="18.75">
      <c r="B5" s="34"/>
      <c r="C5" s="15" t="s">
        <v>4</v>
      </c>
      <c r="D5" s="14" t="s">
        <v>5</v>
      </c>
    </row>
    <row r="6" spans="1:9" s="2" customFormat="1" ht="18.75">
      <c r="A6" s="17"/>
      <c r="B6" s="18"/>
      <c r="C6" s="18"/>
      <c r="D6" s="18"/>
      <c r="E6" s="18"/>
      <c r="F6" s="18"/>
      <c r="G6" s="18"/>
      <c r="H6" s="18"/>
      <c r="I6" s="17"/>
    </row>
    <row r="7" spans="1:9" ht="18.75">
      <c r="A7" s="28" t="s">
        <v>6</v>
      </c>
      <c r="B7" s="16" t="s">
        <v>9</v>
      </c>
      <c r="C7" s="15" t="s">
        <v>8</v>
      </c>
      <c r="D7" s="14" t="s">
        <v>7</v>
      </c>
    </row>
    <row r="8" spans="1:9" ht="18.75">
      <c r="A8" s="28"/>
      <c r="B8" s="35"/>
      <c r="C8" s="35"/>
      <c r="D8" s="35"/>
    </row>
    <row r="9" spans="1:9" ht="18.75">
      <c r="A9" s="28"/>
      <c r="B9" s="35" t="s">
        <v>10</v>
      </c>
      <c r="C9" s="15" t="s">
        <v>4</v>
      </c>
      <c r="D9" s="14" t="s">
        <v>5</v>
      </c>
    </row>
    <row r="10" spans="1:9" ht="18.75">
      <c r="A10" s="28"/>
      <c r="B10" s="35"/>
      <c r="C10" s="15" t="s">
        <v>16</v>
      </c>
      <c r="D10" s="14" t="s">
        <v>5</v>
      </c>
    </row>
    <row r="11" spans="1:9" ht="18.75">
      <c r="A11" s="19"/>
      <c r="B11" s="19"/>
      <c r="C11" s="17"/>
      <c r="D11" s="20"/>
      <c r="E11" s="19"/>
      <c r="F11" s="19"/>
      <c r="G11" s="19"/>
      <c r="H11" s="19"/>
      <c r="I11" s="19"/>
    </row>
    <row r="12" spans="1:9" s="5" customFormat="1" ht="22.5">
      <c r="A12" s="29" t="s">
        <v>36</v>
      </c>
      <c r="B12" s="30"/>
      <c r="C12" s="30"/>
      <c r="D12" s="30"/>
      <c r="E12" s="30"/>
      <c r="F12" s="30"/>
      <c r="G12" s="30"/>
      <c r="H12" s="30"/>
      <c r="I12" s="31"/>
    </row>
    <row r="13" spans="1:9" s="3" customFormat="1" ht="18.75">
      <c r="A13" s="7"/>
      <c r="B13" s="7" t="s">
        <v>11</v>
      </c>
      <c r="C13" s="7" t="s">
        <v>12</v>
      </c>
      <c r="D13" s="7" t="s">
        <v>13</v>
      </c>
      <c r="E13" s="7" t="s">
        <v>14</v>
      </c>
      <c r="F13" s="7"/>
      <c r="G13" s="28" t="s">
        <v>27</v>
      </c>
      <c r="H13" s="28"/>
      <c r="I13" s="7" t="s">
        <v>28</v>
      </c>
    </row>
    <row r="14" spans="1:9" s="3" customFormat="1" ht="18.75">
      <c r="A14" s="7"/>
      <c r="B14" s="7">
        <v>10</v>
      </c>
      <c r="C14" s="7">
        <v>0.75</v>
      </c>
      <c r="D14" s="7">
        <v>10</v>
      </c>
      <c r="E14" s="22">
        <f>(B14*C14*D14)</f>
        <v>75</v>
      </c>
      <c r="F14" s="7"/>
      <c r="G14" s="22">
        <v>1</v>
      </c>
      <c r="H14" s="22">
        <v>4</v>
      </c>
      <c r="I14" s="22">
        <f>(G14+H14)</f>
        <v>5</v>
      </c>
    </row>
    <row r="15" spans="1:9" s="3" customFormat="1" ht="18.75">
      <c r="A15" s="21"/>
      <c r="B15" s="21"/>
      <c r="C15" s="21"/>
      <c r="D15" s="21"/>
      <c r="E15" s="21"/>
      <c r="F15" s="21"/>
      <c r="G15" s="21"/>
      <c r="H15" s="21"/>
      <c r="I15" s="21"/>
    </row>
    <row r="16" spans="1:9" s="4" customFormat="1" ht="57">
      <c r="A16" s="24" t="s">
        <v>25</v>
      </c>
      <c r="B16" s="10" t="s">
        <v>39</v>
      </c>
      <c r="C16" s="11" t="s">
        <v>19</v>
      </c>
      <c r="D16" s="11" t="s">
        <v>20</v>
      </c>
      <c r="E16" s="12" t="s">
        <v>29</v>
      </c>
      <c r="F16" s="11" t="s">
        <v>21</v>
      </c>
      <c r="G16" s="11" t="s">
        <v>22</v>
      </c>
      <c r="H16" s="11" t="s">
        <v>23</v>
      </c>
      <c r="I16" s="11" t="s">
        <v>24</v>
      </c>
    </row>
    <row r="17" spans="1:9" ht="18.75">
      <c r="A17" s="25"/>
      <c r="B17" s="7">
        <f>(G14/I14)</f>
        <v>0.2</v>
      </c>
      <c r="C17" s="7">
        <v>1.54</v>
      </c>
      <c r="D17" s="8">
        <f>E14</f>
        <v>75</v>
      </c>
      <c r="E17" s="7">
        <f>(D17/35.28)</f>
        <v>2.1258503401360542</v>
      </c>
      <c r="F17" s="7">
        <v>1440</v>
      </c>
      <c r="G17" s="7">
        <f>(B17*C17*E17*F17)</f>
        <v>942.85714285714289</v>
      </c>
      <c r="H17" s="7">
        <f>(G17/50)</f>
        <v>18.857142857142858</v>
      </c>
      <c r="I17" s="9">
        <f>ROUND(H17,0)</f>
        <v>19</v>
      </c>
    </row>
    <row r="18" spans="1:9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45">
      <c r="A19" s="24" t="s">
        <v>30</v>
      </c>
      <c r="B19" s="10" t="s">
        <v>40</v>
      </c>
      <c r="C19" s="6" t="s">
        <v>19</v>
      </c>
      <c r="D19" s="6" t="s">
        <v>20</v>
      </c>
      <c r="E19" s="13" t="s">
        <v>32</v>
      </c>
      <c r="F19" s="13" t="s">
        <v>33</v>
      </c>
      <c r="G19" s="13" t="s">
        <v>34</v>
      </c>
      <c r="H19" s="13"/>
      <c r="I19" s="11"/>
    </row>
    <row r="20" spans="1:9" ht="29.25" customHeight="1">
      <c r="A20" s="25"/>
      <c r="B20" s="7">
        <f>(H14/I14)</f>
        <v>0.8</v>
      </c>
      <c r="C20" s="7">
        <v>1.54</v>
      </c>
      <c r="D20" s="8">
        <f>E14</f>
        <v>75</v>
      </c>
      <c r="E20" s="7">
        <f>(B20*C20*D20)</f>
        <v>92.40000000000002</v>
      </c>
      <c r="F20" s="7">
        <f>(E20/100)</f>
        <v>0.92400000000000015</v>
      </c>
      <c r="G20" s="9">
        <f>ROUNDUP(F20,0)</f>
        <v>1</v>
      </c>
      <c r="H20" s="7"/>
      <c r="I20" s="8"/>
    </row>
  </sheetData>
  <mergeCells count="10">
    <mergeCell ref="A12:I12"/>
    <mergeCell ref="G13:H13"/>
    <mergeCell ref="A16:A17"/>
    <mergeCell ref="A19:A20"/>
    <mergeCell ref="A1:I1"/>
    <mergeCell ref="C2:G2"/>
    <mergeCell ref="B3:B5"/>
    <mergeCell ref="A7:A10"/>
    <mergeCell ref="B8:D8"/>
    <mergeCell ref="B9:B10"/>
  </mergeCells>
  <pageMargins left="0.7" right="0.7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C22" sqref="C22"/>
    </sheetView>
  </sheetViews>
  <sheetFormatPr defaultRowHeight="15"/>
  <cols>
    <col min="1" max="1" width="14.28515625" bestFit="1" customWidth="1"/>
    <col min="2" max="2" width="17" bestFit="1" customWidth="1"/>
    <col min="3" max="3" width="15.42578125" bestFit="1" customWidth="1"/>
    <col min="4" max="4" width="22.42578125" bestFit="1" customWidth="1"/>
    <col min="5" max="5" width="21.140625" bestFit="1" customWidth="1"/>
    <col min="6" max="6" width="10.140625" bestFit="1" customWidth="1"/>
    <col min="7" max="7" width="17.140625" bestFit="1" customWidth="1"/>
    <col min="8" max="8" width="22.42578125" bestFit="1" customWidth="1"/>
    <col min="9" max="9" width="16.7109375" bestFit="1" customWidth="1"/>
  </cols>
  <sheetData>
    <row r="1" spans="1:9" ht="22.5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>
      <c r="C2" s="27"/>
      <c r="D2" s="27"/>
      <c r="E2" s="27"/>
      <c r="F2" s="27"/>
      <c r="G2" s="27"/>
    </row>
    <row r="3" spans="1:9" s="1" customFormat="1" ht="18.75">
      <c r="B3" s="32" t="s">
        <v>1</v>
      </c>
      <c r="C3" s="15" t="s">
        <v>2</v>
      </c>
      <c r="D3" s="14" t="s">
        <v>5</v>
      </c>
      <c r="E3" s="2"/>
      <c r="F3" s="2"/>
      <c r="G3" s="2"/>
      <c r="H3" s="1" t="s">
        <v>15</v>
      </c>
    </row>
    <row r="4" spans="1:9" ht="18.75">
      <c r="B4" s="33"/>
      <c r="C4" s="15" t="s">
        <v>3</v>
      </c>
      <c r="D4" s="14" t="s">
        <v>5</v>
      </c>
    </row>
    <row r="5" spans="1:9" ht="18.75">
      <c r="B5" s="34"/>
      <c r="C5" s="15" t="s">
        <v>4</v>
      </c>
      <c r="D5" s="14" t="s">
        <v>5</v>
      </c>
    </row>
    <row r="6" spans="1:9" s="2" customFormat="1" ht="18.75">
      <c r="A6" s="17"/>
      <c r="B6" s="18"/>
      <c r="C6" s="18"/>
      <c r="D6" s="18"/>
      <c r="E6" s="18"/>
      <c r="F6" s="18"/>
      <c r="G6" s="18"/>
      <c r="H6" s="18"/>
      <c r="I6" s="17"/>
    </row>
    <row r="7" spans="1:9" ht="18.75">
      <c r="A7" s="28" t="s">
        <v>6</v>
      </c>
      <c r="B7" s="16" t="s">
        <v>9</v>
      </c>
      <c r="C7" s="15" t="s">
        <v>8</v>
      </c>
      <c r="D7" s="14" t="s">
        <v>7</v>
      </c>
    </row>
    <row r="8" spans="1:9" ht="18.75">
      <c r="A8" s="28"/>
      <c r="B8" s="35"/>
      <c r="C8" s="35"/>
      <c r="D8" s="35"/>
    </row>
    <row r="9" spans="1:9" ht="18.75">
      <c r="A9" s="28"/>
      <c r="B9" s="35" t="s">
        <v>10</v>
      </c>
      <c r="C9" s="15" t="s">
        <v>4</v>
      </c>
      <c r="D9" s="14" t="s">
        <v>5</v>
      </c>
    </row>
    <row r="10" spans="1:9" ht="18.75">
      <c r="A10" s="28"/>
      <c r="B10" s="35"/>
      <c r="C10" s="15" t="s">
        <v>16</v>
      </c>
      <c r="D10" s="14" t="s">
        <v>5</v>
      </c>
    </row>
    <row r="11" spans="1:9" ht="18.75">
      <c r="A11" s="19"/>
      <c r="B11" s="19"/>
      <c r="C11" s="17"/>
      <c r="D11" s="20"/>
      <c r="E11" s="19"/>
      <c r="F11" s="19"/>
      <c r="G11" s="19"/>
      <c r="H11" s="19"/>
      <c r="I11" s="19"/>
    </row>
    <row r="12" spans="1:9" s="5" customFormat="1" ht="22.5">
      <c r="A12" s="29" t="s">
        <v>37</v>
      </c>
      <c r="B12" s="30"/>
      <c r="C12" s="30"/>
      <c r="D12" s="30"/>
      <c r="E12" s="30"/>
      <c r="F12" s="30"/>
      <c r="G12" s="30"/>
      <c r="H12" s="30"/>
      <c r="I12" s="31"/>
    </row>
    <row r="13" spans="1:9" s="3" customFormat="1" ht="18.75">
      <c r="A13" s="7"/>
      <c r="B13" s="7" t="s">
        <v>11</v>
      </c>
      <c r="C13" s="7" t="s">
        <v>12</v>
      </c>
      <c r="D13" s="7" t="s">
        <v>13</v>
      </c>
      <c r="E13" s="7" t="s">
        <v>14</v>
      </c>
      <c r="F13" s="7"/>
      <c r="G13" s="28" t="s">
        <v>27</v>
      </c>
      <c r="H13" s="28"/>
      <c r="I13" s="7" t="s">
        <v>28</v>
      </c>
    </row>
    <row r="14" spans="1:9" s="3" customFormat="1" ht="18.75">
      <c r="A14" s="7"/>
      <c r="B14" s="7">
        <v>10</v>
      </c>
      <c r="C14" s="7">
        <v>0.75</v>
      </c>
      <c r="D14" s="7">
        <v>10</v>
      </c>
      <c r="E14" s="22">
        <f>(B14*C14*D14)</f>
        <v>75</v>
      </c>
      <c r="F14" s="7"/>
      <c r="G14" s="22">
        <v>1</v>
      </c>
      <c r="H14" s="22">
        <v>5</v>
      </c>
      <c r="I14" s="22">
        <f>(G14+H14)</f>
        <v>6</v>
      </c>
    </row>
    <row r="15" spans="1:9" s="3" customFormat="1" ht="18.75">
      <c r="A15" s="21"/>
      <c r="B15" s="21"/>
      <c r="C15" s="21"/>
      <c r="D15" s="21"/>
      <c r="E15" s="21"/>
      <c r="F15" s="21"/>
      <c r="G15" s="21"/>
      <c r="H15" s="21"/>
      <c r="I15" s="21"/>
    </row>
    <row r="16" spans="1:9" s="4" customFormat="1" ht="57">
      <c r="A16" s="24" t="s">
        <v>25</v>
      </c>
      <c r="B16" s="10" t="s">
        <v>38</v>
      </c>
      <c r="C16" s="11" t="s">
        <v>19</v>
      </c>
      <c r="D16" s="11" t="s">
        <v>20</v>
      </c>
      <c r="E16" s="12" t="s">
        <v>29</v>
      </c>
      <c r="F16" s="11" t="s">
        <v>21</v>
      </c>
      <c r="G16" s="11" t="s">
        <v>22</v>
      </c>
      <c r="H16" s="11" t="s">
        <v>23</v>
      </c>
      <c r="I16" s="11" t="s">
        <v>24</v>
      </c>
    </row>
    <row r="17" spans="1:9" ht="34.5" customHeight="1">
      <c r="A17" s="25"/>
      <c r="B17" s="7">
        <f>(G14/I14)</f>
        <v>0.16666666666666666</v>
      </c>
      <c r="C17" s="7">
        <v>1.54</v>
      </c>
      <c r="D17" s="8">
        <f>E14</f>
        <v>75</v>
      </c>
      <c r="E17" s="7">
        <f>(D17/35.28)</f>
        <v>2.1258503401360542</v>
      </c>
      <c r="F17" s="7">
        <v>1440</v>
      </c>
      <c r="G17" s="7">
        <f>(B17*C17*E17*F17)</f>
        <v>785.71428571428567</v>
      </c>
      <c r="H17" s="7">
        <f>(G17/50)</f>
        <v>15.714285714285714</v>
      </c>
      <c r="I17" s="9">
        <f>ROUND(H17,0)</f>
        <v>16</v>
      </c>
    </row>
    <row r="18" spans="1:9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45">
      <c r="A19" s="24" t="s">
        <v>30</v>
      </c>
      <c r="B19" s="10" t="s">
        <v>41</v>
      </c>
      <c r="C19" s="6" t="s">
        <v>19</v>
      </c>
      <c r="D19" s="6" t="s">
        <v>20</v>
      </c>
      <c r="E19" s="13" t="s">
        <v>32</v>
      </c>
      <c r="F19" s="13" t="s">
        <v>33</v>
      </c>
      <c r="G19" s="13" t="s">
        <v>34</v>
      </c>
      <c r="H19" s="13"/>
      <c r="I19" s="11"/>
    </row>
    <row r="20" spans="1:9" ht="40.5" customHeight="1">
      <c r="A20" s="25"/>
      <c r="B20" s="7">
        <f>(H14/I14)</f>
        <v>0.83333333333333337</v>
      </c>
      <c r="C20" s="7">
        <v>1.54</v>
      </c>
      <c r="D20" s="8">
        <f>E14</f>
        <v>75</v>
      </c>
      <c r="E20" s="7">
        <f>(B20*C20*D20)</f>
        <v>96.250000000000014</v>
      </c>
      <c r="F20" s="7">
        <f>(E20/100)</f>
        <v>0.96250000000000013</v>
      </c>
      <c r="G20" s="9">
        <f>ROUNDUP(F20,0)</f>
        <v>1</v>
      </c>
      <c r="H20" s="7"/>
      <c r="I20" s="8"/>
    </row>
  </sheetData>
  <mergeCells count="10">
    <mergeCell ref="A12:I12"/>
    <mergeCell ref="G13:H13"/>
    <mergeCell ref="A16:A17"/>
    <mergeCell ref="A19:A20"/>
    <mergeCell ref="A1:I1"/>
    <mergeCell ref="C2:G2"/>
    <mergeCell ref="B3:B5"/>
    <mergeCell ref="A7:A10"/>
    <mergeCell ref="B8:D8"/>
    <mergeCell ref="B9:B10"/>
  </mergeCells>
  <pageMargins left="0.7" right="0.7" top="0.75" bottom="0.75" header="0.3" footer="0.3"/>
  <pageSetup paperSize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E26" sqref="E26"/>
    </sheetView>
  </sheetViews>
  <sheetFormatPr defaultRowHeight="15"/>
  <cols>
    <col min="1" max="1" width="14.28515625" bestFit="1" customWidth="1"/>
    <col min="2" max="2" width="17" bestFit="1" customWidth="1"/>
    <col min="3" max="3" width="15.42578125" bestFit="1" customWidth="1"/>
    <col min="4" max="4" width="22.42578125" bestFit="1" customWidth="1"/>
    <col min="5" max="5" width="21.140625" bestFit="1" customWidth="1"/>
    <col min="6" max="6" width="10.140625" bestFit="1" customWidth="1"/>
    <col min="7" max="7" width="17.140625" bestFit="1" customWidth="1"/>
    <col min="8" max="8" width="22.42578125" bestFit="1" customWidth="1"/>
    <col min="9" max="9" width="16.7109375" bestFit="1" customWidth="1"/>
  </cols>
  <sheetData>
    <row r="1" spans="1:9" ht="22.5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>
      <c r="C2" s="27"/>
      <c r="D2" s="27"/>
      <c r="E2" s="27"/>
      <c r="F2" s="27"/>
      <c r="G2" s="27"/>
    </row>
    <row r="3" spans="1:9" s="1" customFormat="1" ht="18.75">
      <c r="B3" s="32" t="s">
        <v>1</v>
      </c>
      <c r="C3" s="15" t="s">
        <v>2</v>
      </c>
      <c r="D3" s="14" t="s">
        <v>5</v>
      </c>
      <c r="E3" s="2"/>
      <c r="F3" s="2"/>
      <c r="G3" s="2"/>
      <c r="H3" s="1" t="s">
        <v>15</v>
      </c>
    </row>
    <row r="4" spans="1:9" ht="18.75">
      <c r="B4" s="33"/>
      <c r="C4" s="15" t="s">
        <v>3</v>
      </c>
      <c r="D4" s="14" t="s">
        <v>5</v>
      </c>
    </row>
    <row r="5" spans="1:9" ht="18.75">
      <c r="B5" s="34"/>
      <c r="C5" s="15" t="s">
        <v>4</v>
      </c>
      <c r="D5" s="14" t="s">
        <v>5</v>
      </c>
    </row>
    <row r="6" spans="1:9" s="2" customFormat="1" ht="18.75">
      <c r="A6" s="17"/>
      <c r="B6" s="18"/>
      <c r="C6" s="18"/>
      <c r="D6" s="18"/>
      <c r="E6" s="18"/>
      <c r="F6" s="18"/>
      <c r="G6" s="18"/>
      <c r="H6" s="18"/>
      <c r="I6" s="17"/>
    </row>
    <row r="7" spans="1:9" ht="18.75">
      <c r="A7" s="28" t="s">
        <v>6</v>
      </c>
      <c r="B7" s="16" t="s">
        <v>9</v>
      </c>
      <c r="C7" s="15" t="s">
        <v>8</v>
      </c>
      <c r="D7" s="14" t="s">
        <v>7</v>
      </c>
    </row>
    <row r="8" spans="1:9" ht="18.75">
      <c r="A8" s="28"/>
      <c r="B8" s="35"/>
      <c r="C8" s="35"/>
      <c r="D8" s="35"/>
    </row>
    <row r="9" spans="1:9" ht="18.75">
      <c r="A9" s="28"/>
      <c r="B9" s="35" t="s">
        <v>10</v>
      </c>
      <c r="C9" s="15" t="s">
        <v>4</v>
      </c>
      <c r="D9" s="14" t="s">
        <v>5</v>
      </c>
    </row>
    <row r="10" spans="1:9" ht="18.75">
      <c r="A10" s="28"/>
      <c r="B10" s="35"/>
      <c r="C10" s="15" t="s">
        <v>16</v>
      </c>
      <c r="D10" s="14" t="s">
        <v>5</v>
      </c>
    </row>
    <row r="11" spans="1:9" ht="18.75">
      <c r="A11" s="19"/>
      <c r="B11" s="19"/>
      <c r="C11" s="17"/>
      <c r="D11" s="20"/>
      <c r="E11" s="19"/>
      <c r="F11" s="19"/>
      <c r="G11" s="19"/>
      <c r="H11" s="19"/>
      <c r="I11" s="19"/>
    </row>
    <row r="12" spans="1:9" s="5" customFormat="1" ht="22.5">
      <c r="A12" s="29" t="s">
        <v>42</v>
      </c>
      <c r="B12" s="30"/>
      <c r="C12" s="30"/>
      <c r="D12" s="30"/>
      <c r="E12" s="30"/>
      <c r="F12" s="30"/>
      <c r="G12" s="30"/>
      <c r="H12" s="30"/>
      <c r="I12" s="31"/>
    </row>
    <row r="13" spans="1:9" s="3" customFormat="1" ht="18.75">
      <c r="A13" s="7"/>
      <c r="B13" s="7" t="s">
        <v>11</v>
      </c>
      <c r="C13" s="7" t="s">
        <v>12</v>
      </c>
      <c r="D13" s="7" t="s">
        <v>13</v>
      </c>
      <c r="E13" s="7" t="s">
        <v>14</v>
      </c>
      <c r="F13" s="7"/>
      <c r="G13" s="28" t="s">
        <v>27</v>
      </c>
      <c r="H13" s="28"/>
      <c r="I13" s="7" t="s">
        <v>28</v>
      </c>
    </row>
    <row r="14" spans="1:9" s="3" customFormat="1" ht="18.75">
      <c r="A14" s="7"/>
      <c r="B14" s="7">
        <v>10</v>
      </c>
      <c r="C14" s="7">
        <v>0.75</v>
      </c>
      <c r="D14" s="7">
        <v>10</v>
      </c>
      <c r="E14" s="22">
        <f>(B14*C14*D14)</f>
        <v>75</v>
      </c>
      <c r="F14" s="7"/>
      <c r="G14" s="22">
        <v>1</v>
      </c>
      <c r="H14" s="22">
        <v>4</v>
      </c>
      <c r="I14" s="22">
        <f>(G14+H14)</f>
        <v>5</v>
      </c>
    </row>
    <row r="15" spans="1:9" s="3" customFormat="1" ht="18.75">
      <c r="A15" s="21"/>
      <c r="B15" s="21"/>
      <c r="C15" s="21"/>
      <c r="D15" s="21"/>
      <c r="E15" s="21"/>
      <c r="F15" s="21"/>
      <c r="G15" s="21"/>
      <c r="H15" s="21"/>
      <c r="I15" s="21"/>
    </row>
    <row r="16" spans="1:9" s="4" customFormat="1" ht="57">
      <c r="A16" s="24" t="s">
        <v>25</v>
      </c>
      <c r="B16" s="10" t="s">
        <v>38</v>
      </c>
      <c r="C16" s="11" t="s">
        <v>19</v>
      </c>
      <c r="D16" s="11" t="s">
        <v>20</v>
      </c>
      <c r="E16" s="12" t="s">
        <v>29</v>
      </c>
      <c r="F16" s="11" t="s">
        <v>21</v>
      </c>
      <c r="G16" s="11" t="s">
        <v>22</v>
      </c>
      <c r="H16" s="11" t="s">
        <v>23</v>
      </c>
      <c r="I16" s="11" t="s">
        <v>24</v>
      </c>
    </row>
    <row r="17" spans="1:9" ht="34.5" customHeight="1">
      <c r="A17" s="25"/>
      <c r="B17" s="7">
        <f>(G14/I14)</f>
        <v>0.2</v>
      </c>
      <c r="C17" s="7">
        <v>1.54</v>
      </c>
      <c r="D17" s="8">
        <f>E14</f>
        <v>75</v>
      </c>
      <c r="E17" s="7">
        <f>(D17/35.28)</f>
        <v>2.1258503401360542</v>
      </c>
      <c r="F17" s="7">
        <v>1440</v>
      </c>
      <c r="G17" s="7">
        <f>(B17*C17*E17*F17)</f>
        <v>942.85714285714289</v>
      </c>
      <c r="H17" s="7">
        <f>(G17/50)</f>
        <v>18.857142857142858</v>
      </c>
      <c r="I17" s="9">
        <f>ROUND(H17,0)</f>
        <v>19</v>
      </c>
    </row>
    <row r="18" spans="1:9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45">
      <c r="A19" s="24" t="s">
        <v>30</v>
      </c>
      <c r="B19" s="10" t="s">
        <v>41</v>
      </c>
      <c r="C19" s="6" t="s">
        <v>19</v>
      </c>
      <c r="D19" s="6" t="s">
        <v>20</v>
      </c>
      <c r="E19" s="13" t="s">
        <v>32</v>
      </c>
      <c r="F19" s="13" t="s">
        <v>33</v>
      </c>
      <c r="G19" s="13" t="s">
        <v>34</v>
      </c>
      <c r="H19" s="13"/>
      <c r="I19" s="11"/>
    </row>
    <row r="20" spans="1:9" ht="40.5" customHeight="1">
      <c r="A20" s="25"/>
      <c r="B20" s="7">
        <f>(H14/I14)</f>
        <v>0.8</v>
      </c>
      <c r="C20" s="7">
        <v>1.54</v>
      </c>
      <c r="D20" s="8">
        <f>E14</f>
        <v>75</v>
      </c>
      <c r="E20" s="7">
        <f>(B20*C20*D20)</f>
        <v>92.40000000000002</v>
      </c>
      <c r="F20" s="7">
        <f>(E20/100)</f>
        <v>0.92400000000000015</v>
      </c>
      <c r="G20" s="9">
        <f>ROUNDUP(F20,0)</f>
        <v>1</v>
      </c>
      <c r="H20" s="7"/>
      <c r="I20" s="8"/>
    </row>
  </sheetData>
  <mergeCells count="10">
    <mergeCell ref="A12:I12"/>
    <mergeCell ref="G13:H13"/>
    <mergeCell ref="A16:A17"/>
    <mergeCell ref="A19:A20"/>
    <mergeCell ref="A1:I1"/>
    <mergeCell ref="C2:G2"/>
    <mergeCell ref="B3:B5"/>
    <mergeCell ref="A7:A10"/>
    <mergeCell ref="B8:D8"/>
    <mergeCell ref="B9:B10"/>
  </mergeCells>
  <pageMargins left="0.7" right="0.7" top="0.75" bottom="0.75" header="0.3" footer="0.3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C24" sqref="C24"/>
    </sheetView>
  </sheetViews>
  <sheetFormatPr defaultRowHeight="15"/>
  <cols>
    <col min="1" max="1" width="14.28515625" bestFit="1" customWidth="1"/>
    <col min="2" max="2" width="17" bestFit="1" customWidth="1"/>
    <col min="3" max="3" width="15.42578125" bestFit="1" customWidth="1"/>
    <col min="4" max="4" width="22.42578125" bestFit="1" customWidth="1"/>
    <col min="5" max="5" width="21.140625" bestFit="1" customWidth="1"/>
    <col min="6" max="6" width="10.140625" bestFit="1" customWidth="1"/>
    <col min="7" max="7" width="17.140625" bestFit="1" customWidth="1"/>
    <col min="8" max="8" width="22.42578125" bestFit="1" customWidth="1"/>
    <col min="9" max="9" width="16.7109375" bestFit="1" customWidth="1"/>
  </cols>
  <sheetData>
    <row r="1" spans="1:9" ht="22.5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>
      <c r="C2" s="27"/>
      <c r="D2" s="27"/>
      <c r="E2" s="27"/>
      <c r="F2" s="27"/>
      <c r="G2" s="27"/>
    </row>
    <row r="3" spans="1:9" s="1" customFormat="1" ht="18.75">
      <c r="B3" s="32" t="s">
        <v>1</v>
      </c>
      <c r="C3" s="15" t="s">
        <v>2</v>
      </c>
      <c r="D3" s="14" t="s">
        <v>5</v>
      </c>
      <c r="E3" s="2"/>
      <c r="F3" s="2"/>
      <c r="G3" s="2"/>
      <c r="H3" s="1" t="s">
        <v>15</v>
      </c>
    </row>
    <row r="4" spans="1:9" ht="18.75">
      <c r="B4" s="33"/>
      <c r="C4" s="15" t="s">
        <v>3</v>
      </c>
      <c r="D4" s="14" t="s">
        <v>5</v>
      </c>
    </row>
    <row r="5" spans="1:9" ht="18.75">
      <c r="B5" s="34"/>
      <c r="C5" s="15" t="s">
        <v>4</v>
      </c>
      <c r="D5" s="14" t="s">
        <v>5</v>
      </c>
    </row>
    <row r="6" spans="1:9" s="2" customFormat="1" ht="18.75">
      <c r="A6" s="17"/>
      <c r="B6" s="18"/>
      <c r="C6" s="18"/>
      <c r="D6" s="18"/>
      <c r="E6" s="18"/>
      <c r="F6" s="18"/>
      <c r="G6" s="18"/>
      <c r="H6" s="18"/>
      <c r="I6" s="17"/>
    </row>
    <row r="7" spans="1:9" ht="18.75">
      <c r="A7" s="28" t="s">
        <v>6</v>
      </c>
      <c r="B7" s="16" t="s">
        <v>9</v>
      </c>
      <c r="C7" s="15" t="s">
        <v>8</v>
      </c>
      <c r="D7" s="14" t="s">
        <v>7</v>
      </c>
    </row>
    <row r="8" spans="1:9" ht="18.75">
      <c r="A8" s="28"/>
      <c r="B8" s="35"/>
      <c r="C8" s="35"/>
      <c r="D8" s="35"/>
    </row>
    <row r="9" spans="1:9" ht="18.75">
      <c r="A9" s="28"/>
      <c r="B9" s="35" t="s">
        <v>10</v>
      </c>
      <c r="C9" s="15" t="s">
        <v>4</v>
      </c>
      <c r="D9" s="14" t="s">
        <v>5</v>
      </c>
    </row>
    <row r="10" spans="1:9" ht="18.75">
      <c r="A10" s="28"/>
      <c r="B10" s="35"/>
      <c r="C10" s="15" t="s">
        <v>16</v>
      </c>
      <c r="D10" s="14" t="s">
        <v>5</v>
      </c>
    </row>
    <row r="11" spans="1:9" ht="18.75">
      <c r="A11" s="19"/>
      <c r="B11" s="19"/>
      <c r="C11" s="17"/>
      <c r="D11" s="20"/>
      <c r="E11" s="19"/>
      <c r="F11" s="19"/>
      <c r="G11" s="19"/>
      <c r="H11" s="19"/>
      <c r="I11" s="19"/>
    </row>
    <row r="12" spans="1:9" s="5" customFormat="1" ht="22.5">
      <c r="A12" s="29" t="s">
        <v>43</v>
      </c>
      <c r="B12" s="30"/>
      <c r="C12" s="30"/>
      <c r="D12" s="30"/>
      <c r="E12" s="30"/>
      <c r="F12" s="30"/>
      <c r="G12" s="30"/>
      <c r="H12" s="30"/>
      <c r="I12" s="31"/>
    </row>
    <row r="13" spans="1:9" s="3" customFormat="1" ht="18.75">
      <c r="A13" s="7"/>
      <c r="B13" s="7" t="s">
        <v>11</v>
      </c>
      <c r="C13" s="7" t="s">
        <v>12</v>
      </c>
      <c r="D13" s="7" t="s">
        <v>13</v>
      </c>
      <c r="E13" s="7" t="s">
        <v>14</v>
      </c>
      <c r="F13" s="7"/>
      <c r="G13" s="28" t="s">
        <v>27</v>
      </c>
      <c r="H13" s="28"/>
      <c r="I13" s="7" t="s">
        <v>28</v>
      </c>
    </row>
    <row r="14" spans="1:9" s="3" customFormat="1" ht="18.75">
      <c r="A14" s="7"/>
      <c r="B14" s="7">
        <v>10</v>
      </c>
      <c r="C14" s="7">
        <v>0.75</v>
      </c>
      <c r="D14" s="7">
        <v>10</v>
      </c>
      <c r="E14" s="22">
        <f>(B14*C14*D14)</f>
        <v>75</v>
      </c>
      <c r="F14" s="7"/>
      <c r="G14" s="22">
        <v>1</v>
      </c>
      <c r="H14" s="22">
        <v>3</v>
      </c>
      <c r="I14" s="22">
        <f>(G14+H14)</f>
        <v>4</v>
      </c>
    </row>
    <row r="15" spans="1:9" s="3" customFormat="1" ht="18.75">
      <c r="A15" s="21"/>
      <c r="B15" s="21"/>
      <c r="C15" s="21"/>
      <c r="D15" s="21"/>
      <c r="E15" s="21"/>
      <c r="F15" s="21"/>
      <c r="G15" s="21"/>
      <c r="H15" s="21"/>
      <c r="I15" s="21"/>
    </row>
    <row r="16" spans="1:9" s="4" customFormat="1" ht="57">
      <c r="A16" s="24" t="s">
        <v>25</v>
      </c>
      <c r="B16" s="10" t="s">
        <v>18</v>
      </c>
      <c r="C16" s="11" t="s">
        <v>19</v>
      </c>
      <c r="D16" s="11" t="s">
        <v>20</v>
      </c>
      <c r="E16" s="12" t="s">
        <v>29</v>
      </c>
      <c r="F16" s="11" t="s">
        <v>21</v>
      </c>
      <c r="G16" s="11" t="s">
        <v>22</v>
      </c>
      <c r="H16" s="11" t="s">
        <v>23</v>
      </c>
      <c r="I16" s="11" t="s">
        <v>24</v>
      </c>
    </row>
    <row r="17" spans="1:9" ht="34.5" customHeight="1">
      <c r="A17" s="25"/>
      <c r="B17" s="7">
        <f>(G14/I14)</f>
        <v>0.25</v>
      </c>
      <c r="C17" s="7">
        <v>1.54</v>
      </c>
      <c r="D17" s="8">
        <f>E14</f>
        <v>75</v>
      </c>
      <c r="E17" s="7">
        <f>(D17/35.28)</f>
        <v>2.1258503401360542</v>
      </c>
      <c r="F17" s="7">
        <v>1440</v>
      </c>
      <c r="G17" s="7">
        <f>(B17*C17*E17*F17)</f>
        <v>1178.5714285714284</v>
      </c>
      <c r="H17" s="7">
        <f>(G17/50)</f>
        <v>23.571428571428569</v>
      </c>
      <c r="I17" s="9">
        <f>ROUND(H17,0)</f>
        <v>24</v>
      </c>
    </row>
    <row r="18" spans="1:9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45">
      <c r="A19" s="24" t="s">
        <v>30</v>
      </c>
      <c r="B19" s="10" t="s">
        <v>44</v>
      </c>
      <c r="C19" s="6" t="s">
        <v>19</v>
      </c>
      <c r="D19" s="6" t="s">
        <v>20</v>
      </c>
      <c r="E19" s="13" t="s">
        <v>32</v>
      </c>
      <c r="F19" s="13" t="s">
        <v>33</v>
      </c>
      <c r="G19" s="13" t="s">
        <v>34</v>
      </c>
      <c r="H19" s="13"/>
      <c r="I19" s="11"/>
    </row>
    <row r="20" spans="1:9" ht="40.5" customHeight="1">
      <c r="A20" s="25"/>
      <c r="B20" s="7">
        <f>(H14/I14)</f>
        <v>0.75</v>
      </c>
      <c r="C20" s="7">
        <v>1.54</v>
      </c>
      <c r="D20" s="8">
        <f>E14</f>
        <v>75</v>
      </c>
      <c r="E20" s="7">
        <f>(B20*C20*D20)</f>
        <v>86.625</v>
      </c>
      <c r="F20" s="7">
        <f>(E20/100)</f>
        <v>0.86624999999999996</v>
      </c>
      <c r="G20" s="9">
        <f>ROUNDUP(F20,0)</f>
        <v>1</v>
      </c>
      <c r="H20" s="7"/>
      <c r="I20" s="8"/>
    </row>
  </sheetData>
  <mergeCells count="10">
    <mergeCell ref="A12:I12"/>
    <mergeCell ref="G13:H13"/>
    <mergeCell ref="A16:A17"/>
    <mergeCell ref="A19:A20"/>
    <mergeCell ref="A1:I1"/>
    <mergeCell ref="C2:G2"/>
    <mergeCell ref="B3:B5"/>
    <mergeCell ref="A7:A10"/>
    <mergeCell ref="B8:D8"/>
    <mergeCell ref="B9:B10"/>
  </mergeCells>
  <pageMargins left="0.7" right="0.7" top="0.75" bottom="0.75" header="0.3" footer="0.3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E27" sqref="E27"/>
    </sheetView>
  </sheetViews>
  <sheetFormatPr defaultRowHeight="15"/>
  <cols>
    <col min="1" max="1" width="14.28515625" bestFit="1" customWidth="1"/>
    <col min="2" max="2" width="17" bestFit="1" customWidth="1"/>
    <col min="3" max="3" width="15.42578125" bestFit="1" customWidth="1"/>
    <col min="4" max="4" width="22.42578125" bestFit="1" customWidth="1"/>
    <col min="5" max="5" width="21.140625" bestFit="1" customWidth="1"/>
    <col min="6" max="6" width="10.140625" bestFit="1" customWidth="1"/>
    <col min="7" max="7" width="17.140625" bestFit="1" customWidth="1"/>
    <col min="8" max="8" width="22.42578125" bestFit="1" customWidth="1"/>
    <col min="9" max="9" width="16.7109375" bestFit="1" customWidth="1"/>
  </cols>
  <sheetData>
    <row r="1" spans="1:9" ht="22.5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>
      <c r="C2" s="27"/>
      <c r="D2" s="27"/>
      <c r="E2" s="27"/>
      <c r="F2" s="27"/>
      <c r="G2" s="27"/>
    </row>
    <row r="3" spans="1:9" s="1" customFormat="1" ht="18.75">
      <c r="B3" s="32" t="s">
        <v>1</v>
      </c>
      <c r="C3" s="15" t="s">
        <v>2</v>
      </c>
      <c r="D3" s="14" t="s">
        <v>5</v>
      </c>
      <c r="E3" s="2"/>
      <c r="F3" s="2"/>
      <c r="G3" s="2"/>
      <c r="H3" s="1" t="s">
        <v>15</v>
      </c>
    </row>
    <row r="4" spans="1:9" ht="18.75">
      <c r="B4" s="33"/>
      <c r="C4" s="15" t="s">
        <v>3</v>
      </c>
      <c r="D4" s="14" t="s">
        <v>5</v>
      </c>
    </row>
    <row r="5" spans="1:9" ht="18.75">
      <c r="B5" s="34"/>
      <c r="C5" s="15" t="s">
        <v>4</v>
      </c>
      <c r="D5" s="14" t="s">
        <v>5</v>
      </c>
    </row>
    <row r="6" spans="1:9" s="2" customFormat="1" ht="18.75">
      <c r="A6" s="17"/>
      <c r="B6" s="18"/>
      <c r="C6" s="18"/>
      <c r="D6" s="18"/>
      <c r="E6" s="18"/>
      <c r="F6" s="18"/>
      <c r="G6" s="18"/>
      <c r="H6" s="18"/>
      <c r="I6" s="17"/>
    </row>
    <row r="7" spans="1:9" ht="18.75">
      <c r="A7" s="28" t="s">
        <v>6</v>
      </c>
      <c r="B7" s="16" t="s">
        <v>9</v>
      </c>
      <c r="C7" s="15" t="s">
        <v>8</v>
      </c>
      <c r="D7" s="14" t="s">
        <v>7</v>
      </c>
    </row>
    <row r="8" spans="1:9" ht="18.75">
      <c r="A8" s="28"/>
      <c r="B8" s="35"/>
      <c r="C8" s="35"/>
      <c r="D8" s="35"/>
    </row>
    <row r="9" spans="1:9" ht="18.75">
      <c r="A9" s="28"/>
      <c r="B9" s="35" t="s">
        <v>10</v>
      </c>
      <c r="C9" s="15" t="s">
        <v>4</v>
      </c>
      <c r="D9" s="14" t="s">
        <v>5</v>
      </c>
    </row>
    <row r="10" spans="1:9" ht="18.75">
      <c r="A10" s="28"/>
      <c r="B10" s="35"/>
      <c r="C10" s="15" t="s">
        <v>16</v>
      </c>
      <c r="D10" s="14" t="s">
        <v>5</v>
      </c>
    </row>
    <row r="11" spans="1:9" ht="18.75">
      <c r="A11" s="19"/>
      <c r="B11" s="19"/>
      <c r="C11" s="17"/>
      <c r="D11" s="20"/>
      <c r="E11" s="19"/>
      <c r="F11" s="19"/>
      <c r="G11" s="19"/>
      <c r="H11" s="19"/>
      <c r="I11" s="19"/>
    </row>
    <row r="12" spans="1:9" s="5" customFormat="1" ht="22.5">
      <c r="A12" s="29" t="s">
        <v>45</v>
      </c>
      <c r="B12" s="30"/>
      <c r="C12" s="30"/>
      <c r="D12" s="30"/>
      <c r="E12" s="30"/>
      <c r="F12" s="30"/>
      <c r="G12" s="30"/>
      <c r="H12" s="30"/>
      <c r="I12" s="31"/>
    </row>
    <row r="13" spans="1:9" s="3" customFormat="1" ht="18.75">
      <c r="A13" s="7"/>
      <c r="B13" s="7" t="s">
        <v>11</v>
      </c>
      <c r="C13" s="7" t="s">
        <v>12</v>
      </c>
      <c r="D13" s="7" t="s">
        <v>13</v>
      </c>
      <c r="E13" s="7" t="s">
        <v>14</v>
      </c>
      <c r="F13" s="7"/>
      <c r="G13" s="28" t="s">
        <v>27</v>
      </c>
      <c r="H13" s="28"/>
      <c r="I13" s="7" t="s">
        <v>28</v>
      </c>
    </row>
    <row r="14" spans="1:9" s="3" customFormat="1" ht="18.75">
      <c r="A14" s="7"/>
      <c r="B14" s="7">
        <v>10</v>
      </c>
      <c r="C14" s="7">
        <v>0.75</v>
      </c>
      <c r="D14" s="7">
        <v>10</v>
      </c>
      <c r="E14" s="22">
        <f>(B14*C14*D14)</f>
        <v>75</v>
      </c>
      <c r="F14" s="7"/>
      <c r="G14" s="22">
        <v>1</v>
      </c>
      <c r="H14" s="22">
        <v>2</v>
      </c>
      <c r="I14" s="22">
        <f>(G14+H14)</f>
        <v>3</v>
      </c>
    </row>
    <row r="15" spans="1:9" s="3" customFormat="1" ht="18.75">
      <c r="A15" s="21"/>
      <c r="B15" s="21"/>
      <c r="C15" s="21"/>
      <c r="D15" s="21"/>
      <c r="E15" s="21"/>
      <c r="F15" s="21"/>
      <c r="G15" s="21"/>
      <c r="H15" s="21"/>
      <c r="I15" s="21"/>
    </row>
    <row r="16" spans="1:9" s="4" customFormat="1" ht="57">
      <c r="A16" s="24" t="s">
        <v>25</v>
      </c>
      <c r="B16" s="10" t="s">
        <v>46</v>
      </c>
      <c r="C16" s="11" t="s">
        <v>19</v>
      </c>
      <c r="D16" s="11" t="s">
        <v>20</v>
      </c>
      <c r="E16" s="12" t="s">
        <v>29</v>
      </c>
      <c r="F16" s="11" t="s">
        <v>21</v>
      </c>
      <c r="G16" s="11" t="s">
        <v>22</v>
      </c>
      <c r="H16" s="11" t="s">
        <v>23</v>
      </c>
      <c r="I16" s="11" t="s">
        <v>24</v>
      </c>
    </row>
    <row r="17" spans="1:9" ht="34.5" customHeight="1">
      <c r="A17" s="25"/>
      <c r="B17" s="7">
        <f>(G14/I14)</f>
        <v>0.33333333333333331</v>
      </c>
      <c r="C17" s="7">
        <v>1.54</v>
      </c>
      <c r="D17" s="8">
        <f>E14</f>
        <v>75</v>
      </c>
      <c r="E17" s="7">
        <f>(D17/35.28)</f>
        <v>2.1258503401360542</v>
      </c>
      <c r="F17" s="7">
        <v>1440</v>
      </c>
      <c r="G17" s="7">
        <f>(B17*C17*E17*F17)</f>
        <v>1571.4285714285713</v>
      </c>
      <c r="H17" s="7">
        <f>(G17/50)</f>
        <v>31.428571428571427</v>
      </c>
      <c r="I17" s="9">
        <f>ROUND(H17,0)</f>
        <v>31</v>
      </c>
    </row>
    <row r="18" spans="1:9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45">
      <c r="A19" s="24" t="s">
        <v>30</v>
      </c>
      <c r="B19" s="10" t="s">
        <v>35</v>
      </c>
      <c r="C19" s="6" t="s">
        <v>19</v>
      </c>
      <c r="D19" s="6" t="s">
        <v>20</v>
      </c>
      <c r="E19" s="13" t="s">
        <v>32</v>
      </c>
      <c r="F19" s="13" t="s">
        <v>33</v>
      </c>
      <c r="G19" s="13" t="s">
        <v>34</v>
      </c>
      <c r="H19" s="13"/>
      <c r="I19" s="11"/>
    </row>
    <row r="20" spans="1:9" ht="40.5" customHeight="1">
      <c r="A20" s="25"/>
      <c r="B20" s="7">
        <f>(H14/I14)</f>
        <v>0.66666666666666663</v>
      </c>
      <c r="C20" s="7">
        <v>1.54</v>
      </c>
      <c r="D20" s="8">
        <f>E14</f>
        <v>75</v>
      </c>
      <c r="E20" s="7">
        <f>(B20*C20*D20)</f>
        <v>77</v>
      </c>
      <c r="F20" s="7">
        <f>(E20/100)</f>
        <v>0.77</v>
      </c>
      <c r="G20" s="9">
        <f>ROUNDUP(F20,0)</f>
        <v>1</v>
      </c>
      <c r="H20" s="7"/>
      <c r="I20" s="8"/>
    </row>
  </sheetData>
  <mergeCells count="10">
    <mergeCell ref="A12:I12"/>
    <mergeCell ref="G13:H13"/>
    <mergeCell ref="A16:A17"/>
    <mergeCell ref="A19:A20"/>
    <mergeCell ref="A1:I1"/>
    <mergeCell ref="C2:G2"/>
    <mergeCell ref="B3:B5"/>
    <mergeCell ref="A7:A10"/>
    <mergeCell ref="B8:D8"/>
    <mergeCell ref="B9:B10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RATIO 1-6</vt:lpstr>
      <vt:lpstr>RATIO 1-4</vt:lpstr>
      <vt:lpstr>RATIO 1-5</vt:lpstr>
      <vt:lpstr>CELING 1-4 </vt:lpstr>
      <vt:lpstr>CELING 1-3</vt:lpstr>
      <vt:lpstr>CELING 1-2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Elamurugan GR</cp:lastModifiedBy>
  <dcterms:created xsi:type="dcterms:W3CDTF">2020-04-14T05:18:18Z</dcterms:created>
  <dcterms:modified xsi:type="dcterms:W3CDTF">2020-06-25T18:40:00Z</dcterms:modified>
</cp:coreProperties>
</file>