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4855" windowHeight="1252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L4" i="1"/>
  <c r="L5"/>
  <c r="L7"/>
  <c r="L8"/>
  <c r="L9"/>
  <c r="L10"/>
  <c r="L11"/>
  <c r="L3"/>
  <c r="H10"/>
  <c r="D4"/>
  <c r="D5"/>
  <c r="D6"/>
  <c r="D7"/>
  <c r="D8"/>
  <c r="D9"/>
  <c r="G10"/>
  <c r="G11"/>
  <c r="H11"/>
  <c r="E4"/>
  <c r="E5"/>
  <c r="E6"/>
  <c r="E7"/>
  <c r="E8"/>
  <c r="E9"/>
  <c r="E10"/>
  <c r="C10" s="1"/>
  <c r="D10" s="1"/>
  <c r="E11"/>
  <c r="C11" s="1"/>
  <c r="D11" s="1"/>
  <c r="E3"/>
  <c r="C3" s="1"/>
  <c r="D3" s="1"/>
  <c r="G3"/>
  <c r="H3" s="1"/>
  <c r="G9"/>
  <c r="H9" s="1"/>
  <c r="G8"/>
  <c r="H8" s="1"/>
  <c r="I8" s="1"/>
  <c r="J8" s="1"/>
  <c r="G7"/>
  <c r="H7" s="1"/>
  <c r="I7" s="1"/>
  <c r="J7" s="1"/>
  <c r="G6"/>
  <c r="H6" s="1"/>
  <c r="I6" s="1"/>
  <c r="J6" s="1"/>
  <c r="G5"/>
  <c r="H5" s="1"/>
  <c r="G4"/>
  <c r="H4" s="1"/>
  <c r="I4" s="1"/>
  <c r="J4" s="1"/>
  <c r="L6" l="1"/>
  <c r="I5"/>
  <c r="J5" s="1"/>
  <c r="I9"/>
  <c r="J9" s="1"/>
  <c r="I11"/>
  <c r="J11" s="1"/>
  <c r="I3"/>
  <c r="J3" s="1"/>
  <c r="I10"/>
  <c r="J10" s="1"/>
</calcChain>
</file>

<file path=xl/sharedStrings.xml><?xml version="1.0" encoding="utf-8"?>
<sst xmlns="http://schemas.openxmlformats.org/spreadsheetml/2006/main" count="14" uniqueCount="13">
  <si>
    <t>Weight of steel bar</t>
  </si>
  <si>
    <t>LENGTH IN FEET</t>
  </si>
  <si>
    <t>LENGTH IN METER</t>
  </si>
  <si>
    <t>WEIGHT</t>
  </si>
  <si>
    <t>Diameter</t>
  </si>
  <si>
    <t>TMT ROD PER BUNDLE</t>
  </si>
  <si>
    <t>TMT ROD WEIGHT  PER meter</t>
  </si>
  <si>
    <t>Length of TMT steel Rod will be 12 meters or 40 feet</t>
  </si>
  <si>
    <t>TMT ROD WEIGHT  PER BUNDLE( Kg)</t>
  </si>
  <si>
    <t>NO OF TMT RODS</t>
  </si>
  <si>
    <t>WEIGHT  PER ROD</t>
  </si>
  <si>
    <t>RATE</t>
  </si>
  <si>
    <t xml:space="preserve">RATE ON DATE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</si>
</sst>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6"/>
      <color theme="1"/>
      <name val="Arial Black"/>
      <family val="2"/>
    </font>
    <font>
      <sz val="18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>
      <selection sqref="A1:L1"/>
    </sheetView>
  </sheetViews>
  <sheetFormatPr defaultRowHeight="15"/>
  <cols>
    <col min="1" max="1" width="13.7109375" customWidth="1"/>
    <col min="2" max="2" width="14.42578125" customWidth="1"/>
    <col min="3" max="3" width="19.85546875" customWidth="1"/>
    <col min="4" max="4" width="20.85546875" customWidth="1"/>
    <col min="5" max="5" width="21.5703125" customWidth="1"/>
    <col min="6" max="6" width="15.85546875" customWidth="1"/>
    <col min="7" max="7" width="18.28515625" customWidth="1"/>
    <col min="8" max="8" width="19.140625" customWidth="1"/>
    <col min="9" max="9" width="18.28515625" customWidth="1"/>
    <col min="10" max="10" width="16.42578125" customWidth="1"/>
  </cols>
  <sheetData>
    <row r="1" spans="1:12" ht="33.7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80.25" customHeight="1">
      <c r="A2" s="2" t="s">
        <v>4</v>
      </c>
      <c r="B2" s="3" t="s">
        <v>5</v>
      </c>
      <c r="C2" s="3" t="s">
        <v>8</v>
      </c>
      <c r="D2" s="3" t="s">
        <v>10</v>
      </c>
      <c r="E2" s="5" t="s">
        <v>6</v>
      </c>
      <c r="F2" s="7" t="s">
        <v>1</v>
      </c>
      <c r="G2" s="3" t="s">
        <v>2</v>
      </c>
      <c r="H2" s="2" t="s">
        <v>3</v>
      </c>
      <c r="I2" s="3" t="s">
        <v>9</v>
      </c>
      <c r="J2" s="3" t="s">
        <v>9</v>
      </c>
      <c r="K2" s="10" t="s">
        <v>12</v>
      </c>
      <c r="L2" s="10" t="s">
        <v>11</v>
      </c>
    </row>
    <row r="3" spans="1:12" ht="35.1" customHeight="1">
      <c r="A3" s="2">
        <v>6</v>
      </c>
      <c r="B3" s="3">
        <v>12</v>
      </c>
      <c r="C3" s="3">
        <f>(B3*E3*12)</f>
        <v>32</v>
      </c>
      <c r="D3" s="8">
        <f>(C3/B3)</f>
        <v>2.6666666666666665</v>
      </c>
      <c r="E3" s="9">
        <f>(A3*A3/162)</f>
        <v>0.22222222222222221</v>
      </c>
      <c r="F3" s="6">
        <v>210</v>
      </c>
      <c r="G3" s="2">
        <f t="shared" ref="G3:G9" si="0">(F3/3.28)</f>
        <v>64.024390243902445</v>
      </c>
      <c r="H3" s="2">
        <f>(A3*A3*G3/162)</f>
        <v>14.227642276422765</v>
      </c>
      <c r="I3" s="2">
        <f>(H3/D3)</f>
        <v>5.3353658536585371</v>
      </c>
      <c r="J3" s="11">
        <f>ROUNDUP(I3,0)</f>
        <v>6</v>
      </c>
      <c r="K3" s="2">
        <v>58</v>
      </c>
      <c r="L3" s="2">
        <f>(H3*K3)</f>
        <v>825.20325203252037</v>
      </c>
    </row>
    <row r="4" spans="1:12" s="1" customFormat="1" ht="35.1" customHeight="1">
      <c r="A4" s="2">
        <v>8</v>
      </c>
      <c r="B4" s="2">
        <v>10</v>
      </c>
      <c r="C4" s="3">
        <v>47</v>
      </c>
      <c r="D4" s="8">
        <f t="shared" ref="D4:D11" si="1">(C4/B4)</f>
        <v>4.7</v>
      </c>
      <c r="E4" s="9">
        <f t="shared" ref="E4:E11" si="2">(A4*A4/162)</f>
        <v>0.39506172839506171</v>
      </c>
      <c r="F4" s="6">
        <v>195</v>
      </c>
      <c r="G4" s="2">
        <f t="shared" si="0"/>
        <v>59.451219512195124</v>
      </c>
      <c r="H4" s="2">
        <f t="shared" ref="H4:H11" si="3">(A4*A4*G4/162)</f>
        <v>23.486901535682023</v>
      </c>
      <c r="I4" s="2">
        <f t="shared" ref="I4:I11" si="4">(H4/D4)</f>
        <v>4.9972130926983027</v>
      </c>
      <c r="J4" s="11">
        <f t="shared" ref="J4:J11" si="5">ROUNDUP(I4,0)</f>
        <v>5</v>
      </c>
      <c r="K4" s="2">
        <v>58</v>
      </c>
      <c r="L4" s="2">
        <f t="shared" ref="L4:L11" si="6">(H4*K4)</f>
        <v>1362.2402890695573</v>
      </c>
    </row>
    <row r="5" spans="1:12" ht="35.1" customHeight="1">
      <c r="A5" s="2">
        <v>10</v>
      </c>
      <c r="B5" s="2">
        <v>7</v>
      </c>
      <c r="C5" s="3">
        <v>53</v>
      </c>
      <c r="D5" s="8">
        <f t="shared" si="1"/>
        <v>7.5714285714285712</v>
      </c>
      <c r="E5" s="9">
        <f t="shared" si="2"/>
        <v>0.61728395061728392</v>
      </c>
      <c r="F5" s="6">
        <v>210</v>
      </c>
      <c r="G5" s="2">
        <f t="shared" si="0"/>
        <v>64.024390243902445</v>
      </c>
      <c r="H5" s="2">
        <f t="shared" si="3"/>
        <v>39.52122854561879</v>
      </c>
      <c r="I5" s="2">
        <f t="shared" si="4"/>
        <v>5.2197849022515381</v>
      </c>
      <c r="J5" s="11">
        <f t="shared" si="5"/>
        <v>6</v>
      </c>
      <c r="K5" s="2">
        <v>58</v>
      </c>
      <c r="L5" s="2">
        <f t="shared" si="6"/>
        <v>2292.2312556458896</v>
      </c>
    </row>
    <row r="6" spans="1:12" ht="35.1" customHeight="1">
      <c r="A6" s="2">
        <v>12</v>
      </c>
      <c r="B6" s="2">
        <v>5</v>
      </c>
      <c r="C6" s="3">
        <v>53.4</v>
      </c>
      <c r="D6" s="8">
        <f t="shared" si="1"/>
        <v>10.68</v>
      </c>
      <c r="E6" s="9">
        <f t="shared" si="2"/>
        <v>0.88888888888888884</v>
      </c>
      <c r="F6" s="6">
        <v>2382</v>
      </c>
      <c r="G6" s="2">
        <f t="shared" si="0"/>
        <v>726.21951219512198</v>
      </c>
      <c r="H6" s="2">
        <f t="shared" si="3"/>
        <v>645.52845528455282</v>
      </c>
      <c r="I6" s="2">
        <f t="shared" si="4"/>
        <v>60.442739258853258</v>
      </c>
      <c r="J6" s="11">
        <f t="shared" si="5"/>
        <v>61</v>
      </c>
      <c r="K6" s="2">
        <v>58</v>
      </c>
      <c r="L6" s="2">
        <f t="shared" si="6"/>
        <v>37440.650406504064</v>
      </c>
    </row>
    <row r="7" spans="1:12" ht="35.1" customHeight="1">
      <c r="A7" s="2">
        <v>16</v>
      </c>
      <c r="B7" s="2">
        <v>3</v>
      </c>
      <c r="C7" s="3">
        <v>56.88</v>
      </c>
      <c r="D7" s="8">
        <f t="shared" si="1"/>
        <v>18.96</v>
      </c>
      <c r="E7" s="9">
        <f t="shared" si="2"/>
        <v>1.5802469135802468</v>
      </c>
      <c r="F7" s="6">
        <v>210</v>
      </c>
      <c r="G7" s="2">
        <f t="shared" si="0"/>
        <v>64.024390243902445</v>
      </c>
      <c r="H7" s="2">
        <f t="shared" si="3"/>
        <v>101.17434507678411</v>
      </c>
      <c r="I7" s="2">
        <f t="shared" si="4"/>
        <v>5.3361996348514822</v>
      </c>
      <c r="J7" s="11">
        <f t="shared" si="5"/>
        <v>6</v>
      </c>
      <c r="K7" s="2">
        <v>58</v>
      </c>
      <c r="L7" s="2">
        <f t="shared" si="6"/>
        <v>5868.112014453478</v>
      </c>
    </row>
    <row r="8" spans="1:12" ht="35.1" customHeight="1">
      <c r="A8" s="2">
        <v>20</v>
      </c>
      <c r="B8" s="2">
        <v>2</v>
      </c>
      <c r="C8" s="3">
        <v>59.2</v>
      </c>
      <c r="D8" s="8">
        <f t="shared" si="1"/>
        <v>29.6</v>
      </c>
      <c r="E8" s="9">
        <f t="shared" si="2"/>
        <v>2.4691358024691357</v>
      </c>
      <c r="F8" s="6">
        <v>210</v>
      </c>
      <c r="G8" s="2">
        <f t="shared" si="0"/>
        <v>64.024390243902445</v>
      </c>
      <c r="H8" s="2">
        <f t="shared" si="3"/>
        <v>158.08491418247516</v>
      </c>
      <c r="I8" s="2">
        <f t="shared" si="4"/>
        <v>5.3407065602187549</v>
      </c>
      <c r="J8" s="11">
        <f t="shared" si="5"/>
        <v>6</v>
      </c>
      <c r="K8" s="2">
        <v>58</v>
      </c>
      <c r="L8" s="2">
        <f t="shared" si="6"/>
        <v>9168.9250225835585</v>
      </c>
    </row>
    <row r="9" spans="1:12" ht="35.1" customHeight="1">
      <c r="A9" s="4">
        <v>25</v>
      </c>
      <c r="B9" s="4">
        <v>1</v>
      </c>
      <c r="C9" s="3">
        <v>46.2</v>
      </c>
      <c r="D9" s="8">
        <f t="shared" si="1"/>
        <v>46.2</v>
      </c>
      <c r="E9" s="9">
        <f t="shared" si="2"/>
        <v>3.8580246913580245</v>
      </c>
      <c r="F9" s="6">
        <v>210</v>
      </c>
      <c r="G9" s="2">
        <f t="shared" si="0"/>
        <v>64.024390243902445</v>
      </c>
      <c r="H9" s="2">
        <f t="shared" si="3"/>
        <v>247.00767841011745</v>
      </c>
      <c r="I9" s="2">
        <f t="shared" si="4"/>
        <v>5.346486545673538</v>
      </c>
      <c r="J9" s="11">
        <f t="shared" si="5"/>
        <v>6</v>
      </c>
      <c r="K9" s="2">
        <v>58</v>
      </c>
      <c r="L9" s="2">
        <f t="shared" si="6"/>
        <v>14326.445347786812</v>
      </c>
    </row>
    <row r="10" spans="1:12" ht="35.1" customHeight="1">
      <c r="A10" s="4">
        <v>28</v>
      </c>
      <c r="B10" s="4">
        <v>1</v>
      </c>
      <c r="C10" s="3">
        <f t="shared" ref="C10:C11" si="7">(B10*E10*12)</f>
        <v>58.074074074074076</v>
      </c>
      <c r="D10" s="8">
        <f t="shared" si="1"/>
        <v>58.074074074074076</v>
      </c>
      <c r="E10" s="9">
        <f t="shared" si="2"/>
        <v>4.8395061728395063</v>
      </c>
      <c r="F10" s="6">
        <v>210</v>
      </c>
      <c r="G10" s="2">
        <f t="shared" ref="G10:G11" si="8">(F10/3.28)</f>
        <v>64.024390243902445</v>
      </c>
      <c r="H10" s="2">
        <f t="shared" si="3"/>
        <v>309.84643179765135</v>
      </c>
      <c r="I10" s="2">
        <f t="shared" si="4"/>
        <v>5.3353658536585371</v>
      </c>
      <c r="J10" s="11">
        <f t="shared" si="5"/>
        <v>6</v>
      </c>
      <c r="K10" s="2">
        <v>58</v>
      </c>
      <c r="L10" s="2">
        <f t="shared" si="6"/>
        <v>17971.093044263776</v>
      </c>
    </row>
    <row r="11" spans="1:12" ht="35.1" customHeight="1">
      <c r="A11" s="4">
        <v>32</v>
      </c>
      <c r="B11" s="4">
        <v>1</v>
      </c>
      <c r="C11" s="3">
        <f t="shared" si="7"/>
        <v>75.851851851851848</v>
      </c>
      <c r="D11" s="8">
        <f t="shared" si="1"/>
        <v>75.851851851851848</v>
      </c>
      <c r="E11" s="9">
        <f t="shared" si="2"/>
        <v>6.3209876543209873</v>
      </c>
      <c r="F11" s="6">
        <v>210</v>
      </c>
      <c r="G11" s="2">
        <f t="shared" si="8"/>
        <v>64.024390243902445</v>
      </c>
      <c r="H11" s="2">
        <f t="shared" si="3"/>
        <v>404.69738030713643</v>
      </c>
      <c r="I11" s="2">
        <f t="shared" si="4"/>
        <v>5.3353658536585371</v>
      </c>
      <c r="J11" s="11">
        <f t="shared" si="5"/>
        <v>6</v>
      </c>
      <c r="K11" s="2">
        <v>58</v>
      </c>
      <c r="L11" s="2">
        <f t="shared" si="6"/>
        <v>23472.448057813912</v>
      </c>
    </row>
    <row r="12" spans="1:12" ht="35.1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2" ht="35.1" customHeight="1">
      <c r="A13" s="13" t="s">
        <v>7</v>
      </c>
      <c r="B13" s="13"/>
      <c r="C13" s="13"/>
      <c r="D13" s="13"/>
      <c r="E13" s="13"/>
      <c r="F13" s="13"/>
      <c r="G13" s="13"/>
      <c r="H13" s="13"/>
      <c r="I13" s="13"/>
      <c r="J13" s="13"/>
    </row>
  </sheetData>
  <mergeCells count="3">
    <mergeCell ref="A12:J12"/>
    <mergeCell ref="A13:J13"/>
    <mergeCell ref="A1:L1"/>
  </mergeCells>
  <pageMargins left="0.45" right="0.45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2020-04-10T10:17:50Z</dcterms:created>
  <dcterms:modified xsi:type="dcterms:W3CDTF">2020-04-12T09:19:57Z</dcterms:modified>
</cp:coreProperties>
</file>