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20730" windowHeight="11760"/>
  </bookViews>
  <sheets>
    <sheet name="Sheet1" sheetId="1" r:id="rId1"/>
    <sheet name="Sheet1 (2)" sheetId="4" r:id="rId2"/>
    <sheet name="Sheet2" sheetId="2" r:id="rId3"/>
    <sheet name="Sheet3" sheetId="3" r:id="rId4"/>
  </sheets>
  <calcPr calcId="144525"/>
</workbook>
</file>

<file path=xl/calcChain.xml><?xml version="1.0" encoding="utf-8"?>
<calcChain xmlns="http://schemas.openxmlformats.org/spreadsheetml/2006/main">
  <c r="G10" i="1" l="1"/>
  <c r="D16" i="1" l="1"/>
  <c r="E34" i="4"/>
  <c r="D32" i="4"/>
  <c r="D34" i="4" s="1"/>
  <c r="G34" i="4" s="1"/>
  <c r="E32" i="4"/>
  <c r="F32" i="4"/>
  <c r="F34" i="4" s="1"/>
  <c r="F36" i="1"/>
  <c r="D22" i="4"/>
  <c r="D19" i="4"/>
  <c r="B25" i="4" s="1"/>
  <c r="D7" i="4"/>
  <c r="C7" i="4"/>
  <c r="B7" i="4"/>
  <c r="E6" i="4"/>
  <c r="F6" i="4" s="1"/>
  <c r="B13" i="4" s="1"/>
  <c r="E3" i="4"/>
  <c r="A16" i="4" s="1"/>
  <c r="D7" i="1"/>
  <c r="C7" i="1"/>
  <c r="B7" i="1"/>
  <c r="D22" i="1"/>
  <c r="D19" i="1"/>
  <c r="B22" i="1" s="1"/>
  <c r="E7" i="1"/>
  <c r="F7" i="1" s="1"/>
  <c r="B10" i="1" s="1"/>
  <c r="E6" i="1"/>
  <c r="F6" i="1" s="1"/>
  <c r="B13" i="1" s="1"/>
  <c r="E3" i="1"/>
  <c r="A10" i="1" s="1"/>
  <c r="E7" i="4" l="1"/>
  <c r="F7" i="4" s="1"/>
  <c r="B10" i="4" s="1"/>
  <c r="B25" i="1"/>
  <c r="B22" i="4"/>
  <c r="A10" i="4"/>
  <c r="C10" i="4" s="1"/>
  <c r="D10" i="4" s="1"/>
  <c r="A16" i="1"/>
  <c r="C10" i="1"/>
  <c r="D10" i="1" s="1"/>
  <c r="B28" i="4" l="1"/>
  <c r="A13" i="4"/>
  <c r="C13" i="4" s="1"/>
  <c r="B16" i="4" s="1"/>
  <c r="C16" i="4" s="1"/>
  <c r="E10" i="4"/>
  <c r="F10" i="4" s="1"/>
  <c r="C28" i="4" s="1"/>
  <c r="A13" i="1"/>
  <c r="C13" i="1" s="1"/>
  <c r="B16" i="1" s="1"/>
  <c r="C16" i="1" s="1"/>
  <c r="B28" i="1"/>
  <c r="E10" i="1"/>
  <c r="F10" i="1" s="1"/>
  <c r="C28" i="1" s="1"/>
  <c r="D16" i="4" l="1"/>
  <c r="E16" i="4" s="1"/>
  <c r="G10" i="4"/>
  <c r="D28" i="4" s="1"/>
  <c r="E16" i="1"/>
  <c r="D28" i="1"/>
  <c r="C22" i="4" l="1"/>
  <c r="E22" i="4" s="1"/>
  <c r="F22" i="4" s="1"/>
  <c r="E28" i="4" s="1"/>
  <c r="C25" i="4"/>
  <c r="D25" i="4" s="1"/>
  <c r="E25" i="4" s="1"/>
  <c r="F28" i="4" s="1"/>
  <c r="C25" i="1"/>
  <c r="D25" i="1" s="1"/>
  <c r="E25" i="1" s="1"/>
  <c r="F28" i="1" s="1"/>
  <c r="C22" i="1"/>
  <c r="E22" i="1" s="1"/>
  <c r="F22" i="1" s="1"/>
  <c r="E28" i="1" s="1"/>
</calcChain>
</file>

<file path=xl/sharedStrings.xml><?xml version="1.0" encoding="utf-8"?>
<sst xmlns="http://schemas.openxmlformats.org/spreadsheetml/2006/main" count="105" uniqueCount="46">
  <si>
    <t>No of Bricks  -  Cement bag  - sand unit</t>
  </si>
  <si>
    <t>wall</t>
  </si>
  <si>
    <t>Length feet</t>
  </si>
  <si>
    <t>Breath  feet</t>
  </si>
  <si>
    <t>Hight  feet</t>
  </si>
  <si>
    <t>Volume cft</t>
  </si>
  <si>
    <t>Length inches</t>
  </si>
  <si>
    <t>Breath  inches</t>
  </si>
  <si>
    <t>Hight  inches</t>
  </si>
  <si>
    <t>Volume inches</t>
  </si>
  <si>
    <t>One brick with Mortal</t>
  </si>
  <si>
    <t>One brick</t>
  </si>
  <si>
    <t>No of bricks</t>
  </si>
  <si>
    <t>Volume of wall</t>
  </si>
  <si>
    <t>Volume of one brick wall with Mortal</t>
  </si>
  <si>
    <t>10% wastage brick</t>
  </si>
  <si>
    <t>10% wastage brick Roundd</t>
  </si>
  <si>
    <t>Total No of bricks</t>
  </si>
  <si>
    <t>One brick volume</t>
  </si>
  <si>
    <t>Total volume of bricks cft</t>
  </si>
  <si>
    <t>Volume of motor cft</t>
  </si>
  <si>
    <t>30% of Volume of motor cft</t>
  </si>
  <si>
    <t>Cement</t>
  </si>
  <si>
    <t>sand</t>
  </si>
  <si>
    <t>Ratio</t>
  </si>
  <si>
    <t>cement</t>
  </si>
  <si>
    <t>total</t>
  </si>
  <si>
    <t>1/7</t>
  </si>
  <si>
    <t>6/7</t>
  </si>
  <si>
    <t>Dry Motor volume cft</t>
  </si>
  <si>
    <t>1440/35.28</t>
  </si>
  <si>
    <t>cement in Kg</t>
  </si>
  <si>
    <t>cement in bag</t>
  </si>
  <si>
    <t>Total volume of wall cft</t>
  </si>
  <si>
    <t>volume of sand cft</t>
  </si>
  <si>
    <t>volume of sand units</t>
  </si>
  <si>
    <t>Wastage brick</t>
  </si>
  <si>
    <t>Total bricks</t>
  </si>
  <si>
    <t>Cement bag</t>
  </si>
  <si>
    <t>Sand units</t>
  </si>
  <si>
    <t>Rs</t>
  </si>
  <si>
    <t>Rate</t>
  </si>
  <si>
    <t>Beam</t>
  </si>
  <si>
    <t>Total</t>
  </si>
  <si>
    <t>Total Rs</t>
  </si>
  <si>
    <t>33% of Volume of motor cft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</si>
</sst>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3" zoomScaleNormal="100" workbookViewId="0">
      <selection activeCell="H10" sqref="H10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3.5703125" bestFit="1" customWidth="1"/>
    <col min="4" max="4" width="12.28515625" bestFit="1" customWidth="1"/>
    <col min="5" max="5" width="14.28515625" bestFit="1" customWidth="1"/>
    <col min="6" max="6" width="10.7109375" bestFit="1" customWidth="1"/>
  </cols>
  <sheetData>
    <row r="1" spans="1:8" ht="34.5" customHeight="1" x14ac:dyDescent="0.25">
      <c r="A1" s="16" t="s">
        <v>0</v>
      </c>
      <c r="B1" s="16"/>
      <c r="C1" s="16"/>
      <c r="D1" s="16"/>
      <c r="E1" s="16"/>
      <c r="F1" s="16"/>
      <c r="G1" s="16"/>
    </row>
    <row r="2" spans="1:8" x14ac:dyDescent="0.25">
      <c r="A2" s="4"/>
      <c r="B2" s="4" t="s">
        <v>2</v>
      </c>
      <c r="C2" s="4" t="s">
        <v>3</v>
      </c>
      <c r="D2" s="4" t="s">
        <v>4</v>
      </c>
      <c r="E2" s="4" t="s">
        <v>5</v>
      </c>
      <c r="F2" s="4"/>
      <c r="G2" s="4"/>
    </row>
    <row r="3" spans="1:8" x14ac:dyDescent="0.25">
      <c r="A3" s="5" t="s">
        <v>1</v>
      </c>
      <c r="B3" s="14">
        <v>168.25</v>
      </c>
      <c r="C3" s="14">
        <v>0.75</v>
      </c>
      <c r="D3" s="14">
        <v>9.75</v>
      </c>
      <c r="E3" s="5">
        <f>(B3*C3*D3)</f>
        <v>1230.328125</v>
      </c>
      <c r="F3" s="5"/>
      <c r="G3" s="5"/>
    </row>
    <row r="4" spans="1:8" x14ac:dyDescent="0.25">
      <c r="A4" s="2"/>
      <c r="B4" s="2"/>
      <c r="C4" s="2"/>
      <c r="D4" s="2"/>
      <c r="E4" s="2"/>
      <c r="F4" s="2"/>
      <c r="G4" s="2"/>
    </row>
    <row r="5" spans="1:8" x14ac:dyDescent="0.25">
      <c r="A5" s="4"/>
      <c r="B5" s="4" t="s">
        <v>6</v>
      </c>
      <c r="C5" s="4" t="s">
        <v>7</v>
      </c>
      <c r="D5" s="4" t="s">
        <v>8</v>
      </c>
      <c r="E5" s="4" t="s">
        <v>9</v>
      </c>
      <c r="F5" s="4" t="s">
        <v>5</v>
      </c>
      <c r="G5" s="4"/>
    </row>
    <row r="6" spans="1:8" x14ac:dyDescent="0.25">
      <c r="A6" s="4" t="s">
        <v>11</v>
      </c>
      <c r="B6" s="5">
        <v>9</v>
      </c>
      <c r="C6" s="5">
        <v>4</v>
      </c>
      <c r="D6" s="5">
        <v>3</v>
      </c>
      <c r="E6" s="5">
        <f>(B6*C6*D6)</f>
        <v>108</v>
      </c>
      <c r="F6" s="5">
        <f>(E6/1728)</f>
        <v>6.25E-2</v>
      </c>
      <c r="G6" s="4"/>
      <c r="H6">
        <v>6.25E-2</v>
      </c>
    </row>
    <row r="7" spans="1:8" s="1" customFormat="1" ht="30" x14ac:dyDescent="0.25">
      <c r="A7" s="6" t="s">
        <v>10</v>
      </c>
      <c r="B7" s="5">
        <f>(B6+0.5)</f>
        <v>9.5</v>
      </c>
      <c r="C7" s="5">
        <f>(C6+0.5)</f>
        <v>4.5</v>
      </c>
      <c r="D7" s="5">
        <f>(D6+0.5)</f>
        <v>3.5</v>
      </c>
      <c r="E7" s="5">
        <f>(B7*C7*D7)</f>
        <v>149.625</v>
      </c>
      <c r="F7" s="7">
        <f>(E7/1728)</f>
        <v>8.6588541666666671E-2</v>
      </c>
      <c r="G7" s="5"/>
      <c r="H7" s="1">
        <v>8.6588540000000006E-2</v>
      </c>
    </row>
    <row r="8" spans="1:8" x14ac:dyDescent="0.25">
      <c r="A8" s="2"/>
      <c r="B8" s="2"/>
      <c r="C8" s="2"/>
      <c r="D8" s="2"/>
      <c r="E8" s="2"/>
      <c r="F8" s="2"/>
      <c r="G8" s="2"/>
    </row>
    <row r="9" spans="1:8" ht="60" x14ac:dyDescent="0.25">
      <c r="A9" s="6" t="s">
        <v>13</v>
      </c>
      <c r="B9" s="6" t="s">
        <v>14</v>
      </c>
      <c r="C9" s="5" t="s">
        <v>12</v>
      </c>
      <c r="D9" s="8" t="s">
        <v>12</v>
      </c>
      <c r="E9" s="6" t="s">
        <v>15</v>
      </c>
      <c r="F9" s="6" t="s">
        <v>16</v>
      </c>
      <c r="G9" s="9" t="s">
        <v>17</v>
      </c>
    </row>
    <row r="10" spans="1:8" s="1" customFormat="1" x14ac:dyDescent="0.25">
      <c r="A10" s="5">
        <f>E3</f>
        <v>1230.328125</v>
      </c>
      <c r="B10" s="7">
        <f>F7</f>
        <v>8.6588541666666671E-2</v>
      </c>
      <c r="C10" s="5">
        <f>(A10/B10)</f>
        <v>14208.902255639097</v>
      </c>
      <c r="D10" s="8">
        <f>ROUNDUP(C10,0)</f>
        <v>14209</v>
      </c>
      <c r="E10" s="5">
        <f>(D10/10)</f>
        <v>1420.9</v>
      </c>
      <c r="F10" s="5">
        <f>ROUNDUP(E10,0)</f>
        <v>1421</v>
      </c>
      <c r="G10" s="8">
        <f>(D10+F10)</f>
        <v>15630</v>
      </c>
      <c r="H10" s="1">
        <v>1230.3280999999999</v>
      </c>
    </row>
    <row r="11" spans="1:8" x14ac:dyDescent="0.25">
      <c r="A11" s="2"/>
      <c r="B11" s="2"/>
      <c r="C11" s="2"/>
      <c r="D11" s="2"/>
      <c r="E11" s="2"/>
      <c r="F11" s="2"/>
      <c r="G11" s="2"/>
    </row>
    <row r="12" spans="1:8" ht="30" x14ac:dyDescent="0.25">
      <c r="A12" s="12" t="s">
        <v>12</v>
      </c>
      <c r="B12" s="10" t="s">
        <v>18</v>
      </c>
      <c r="C12" s="10" t="s">
        <v>19</v>
      </c>
      <c r="D12" s="4"/>
      <c r="E12" s="4"/>
      <c r="F12" s="4"/>
      <c r="G12" s="4"/>
    </row>
    <row r="13" spans="1:8" s="1" customFormat="1" x14ac:dyDescent="0.25">
      <c r="A13" s="5">
        <f>D10</f>
        <v>14209</v>
      </c>
      <c r="B13" s="5">
        <f>F6</f>
        <v>6.25E-2</v>
      </c>
      <c r="C13" s="5">
        <f>(A13*B13)</f>
        <v>888.0625</v>
      </c>
      <c r="D13" s="5"/>
      <c r="E13" s="5"/>
      <c r="F13" s="5"/>
      <c r="G13" s="5"/>
    </row>
    <row r="14" spans="1:8" x14ac:dyDescent="0.25">
      <c r="A14" s="2"/>
      <c r="B14" s="2"/>
      <c r="C14" s="2"/>
      <c r="D14" s="2"/>
      <c r="E14" s="2"/>
      <c r="F14" s="2"/>
      <c r="G14" s="2"/>
    </row>
    <row r="15" spans="1:8" ht="45" x14ac:dyDescent="0.25">
      <c r="A15" s="10" t="s">
        <v>33</v>
      </c>
      <c r="B15" s="10" t="s">
        <v>19</v>
      </c>
      <c r="C15" s="10" t="s">
        <v>20</v>
      </c>
      <c r="D15" s="10" t="s">
        <v>45</v>
      </c>
      <c r="E15" s="10" t="s">
        <v>29</v>
      </c>
      <c r="F15" s="4"/>
      <c r="G15" s="4"/>
    </row>
    <row r="16" spans="1:8" s="1" customFormat="1" x14ac:dyDescent="0.25">
      <c r="A16" s="5">
        <f>E3</f>
        <v>1230.328125</v>
      </c>
      <c r="B16" s="5">
        <f>C13</f>
        <v>888.0625</v>
      </c>
      <c r="C16" s="5">
        <f>(A16-B16)</f>
        <v>342.265625</v>
      </c>
      <c r="D16" s="5">
        <f>(0.33*C16)</f>
        <v>112.94765625000001</v>
      </c>
      <c r="E16" s="5">
        <f>(C16+D16)</f>
        <v>455.21328125000002</v>
      </c>
      <c r="F16" s="5"/>
      <c r="G16" s="5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4"/>
      <c r="B18" s="4" t="s">
        <v>22</v>
      </c>
      <c r="C18" s="4" t="s">
        <v>23</v>
      </c>
      <c r="D18" s="5" t="s">
        <v>26</v>
      </c>
      <c r="E18" s="4"/>
      <c r="F18" s="4"/>
      <c r="G18" s="4"/>
    </row>
    <row r="19" spans="1:7" s="1" customFormat="1" x14ac:dyDescent="0.25">
      <c r="A19" s="5" t="s">
        <v>24</v>
      </c>
      <c r="B19" s="5">
        <v>1</v>
      </c>
      <c r="C19" s="5">
        <v>6</v>
      </c>
      <c r="D19" s="5">
        <f>(B19+C19)</f>
        <v>7</v>
      </c>
      <c r="E19" s="5"/>
      <c r="F19" s="5"/>
      <c r="G19" s="5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ht="30" x14ac:dyDescent="0.25">
      <c r="A21" s="5"/>
      <c r="B21" s="11" t="s">
        <v>27</v>
      </c>
      <c r="C21" s="6" t="s">
        <v>29</v>
      </c>
      <c r="D21" s="5" t="s">
        <v>30</v>
      </c>
      <c r="E21" s="6" t="s">
        <v>31</v>
      </c>
      <c r="F21" s="6" t="s">
        <v>32</v>
      </c>
      <c r="G21" s="6"/>
    </row>
    <row r="22" spans="1:7" s="1" customFormat="1" x14ac:dyDescent="0.25">
      <c r="A22" s="5" t="s">
        <v>25</v>
      </c>
      <c r="B22" s="5">
        <f>(B19/D19)</f>
        <v>0.14285714285714285</v>
      </c>
      <c r="C22" s="5">
        <f>E16</f>
        <v>455.21328125000002</v>
      </c>
      <c r="D22" s="5">
        <f>(1440/35.28)</f>
        <v>40.816326530612244</v>
      </c>
      <c r="E22" s="5">
        <f>(B22*C22*D22)</f>
        <v>2654.3048469387754</v>
      </c>
      <c r="F22" s="8">
        <f>(E22/50)</f>
        <v>53.086096938775512</v>
      </c>
      <c r="G22" s="5"/>
    </row>
    <row r="23" spans="1:7" s="1" customFormat="1" x14ac:dyDescent="0.25">
      <c r="A23" s="3"/>
      <c r="B23" s="3"/>
      <c r="C23" s="3"/>
      <c r="D23" s="3"/>
      <c r="E23" s="3"/>
      <c r="F23" s="3"/>
      <c r="G23" s="3"/>
    </row>
    <row r="24" spans="1:7" s="1" customFormat="1" ht="30" x14ac:dyDescent="0.25">
      <c r="A24" s="5"/>
      <c r="B24" s="11" t="s">
        <v>28</v>
      </c>
      <c r="C24" s="10" t="s">
        <v>29</v>
      </c>
      <c r="D24" s="6" t="s">
        <v>34</v>
      </c>
      <c r="E24" s="6" t="s">
        <v>35</v>
      </c>
      <c r="F24" s="6"/>
      <c r="G24" s="5"/>
    </row>
    <row r="25" spans="1:7" x14ac:dyDescent="0.25">
      <c r="A25" s="5" t="s">
        <v>23</v>
      </c>
      <c r="B25" s="4">
        <f>(C19/D19)</f>
        <v>0.8571428571428571</v>
      </c>
      <c r="C25" s="4">
        <f>E16</f>
        <v>455.21328125000002</v>
      </c>
      <c r="D25" s="4">
        <f>(B25*C25)</f>
        <v>390.18281250000001</v>
      </c>
      <c r="E25" s="13">
        <f>(D25/100)</f>
        <v>3.9018281250000002</v>
      </c>
      <c r="F25" s="4"/>
      <c r="G25" s="4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s="1" customFormat="1" x14ac:dyDescent="0.25">
      <c r="A27" s="5"/>
      <c r="B27" s="5" t="s">
        <v>12</v>
      </c>
      <c r="C27" s="5" t="s">
        <v>36</v>
      </c>
      <c r="D27" s="5" t="s">
        <v>37</v>
      </c>
      <c r="E27" s="5" t="s">
        <v>38</v>
      </c>
      <c r="F27" s="5" t="s">
        <v>39</v>
      </c>
      <c r="G27" s="5"/>
    </row>
    <row r="28" spans="1:7" s="1" customFormat="1" x14ac:dyDescent="0.25">
      <c r="A28" s="5"/>
      <c r="B28" s="5">
        <f>D10</f>
        <v>14209</v>
      </c>
      <c r="C28" s="5">
        <f>F10</f>
        <v>1421</v>
      </c>
      <c r="D28" s="8">
        <f>G10</f>
        <v>15630</v>
      </c>
      <c r="E28" s="8">
        <f>F22</f>
        <v>53.086096938775512</v>
      </c>
      <c r="F28" s="8">
        <f>E25</f>
        <v>3.9018281250000002</v>
      </c>
      <c r="G28" s="5"/>
    </row>
    <row r="31" spans="1:7" x14ac:dyDescent="0.25">
      <c r="B31">
        <v>300</v>
      </c>
    </row>
    <row r="34" spans="6:7" x14ac:dyDescent="0.25">
      <c r="F34">
        <v>2150</v>
      </c>
    </row>
    <row r="35" spans="6:7" x14ac:dyDescent="0.25">
      <c r="F35">
        <v>15630</v>
      </c>
    </row>
    <row r="36" spans="6:7" x14ac:dyDescent="0.25">
      <c r="F36">
        <f>SUM(F34:F35)</f>
        <v>17780</v>
      </c>
      <c r="G36">
        <v>7</v>
      </c>
    </row>
  </sheetData>
  <mergeCells count="1">
    <mergeCell ref="A1:G1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22" zoomScale="200" zoomScaleNormal="200" workbookViewId="0">
      <selection activeCell="C23" sqref="C23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3.5703125" bestFit="1" customWidth="1"/>
    <col min="4" max="4" width="12.28515625" bestFit="1" customWidth="1"/>
    <col min="5" max="5" width="14.28515625" bestFit="1" customWidth="1"/>
    <col min="6" max="6" width="10.7109375" bestFit="1" customWidth="1"/>
  </cols>
  <sheetData>
    <row r="1" spans="1:7" ht="34.5" customHeight="1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4"/>
      <c r="B2" s="4" t="s">
        <v>2</v>
      </c>
      <c r="C2" s="4" t="s">
        <v>3</v>
      </c>
      <c r="D2" s="4" t="s">
        <v>4</v>
      </c>
      <c r="E2" s="4" t="s">
        <v>5</v>
      </c>
      <c r="F2" s="4"/>
      <c r="G2" s="4"/>
    </row>
    <row r="3" spans="1:7" x14ac:dyDescent="0.25">
      <c r="A3" s="5" t="s">
        <v>1</v>
      </c>
      <c r="B3" s="14">
        <v>300</v>
      </c>
      <c r="C3" s="14">
        <v>0.75</v>
      </c>
      <c r="D3" s="14">
        <v>0.75</v>
      </c>
      <c r="E3" s="5">
        <f>(B3*C3*D3)</f>
        <v>168.75</v>
      </c>
      <c r="F3" s="5"/>
      <c r="G3" s="5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4"/>
      <c r="B5" s="4" t="s">
        <v>6</v>
      </c>
      <c r="C5" s="4" t="s">
        <v>7</v>
      </c>
      <c r="D5" s="4" t="s">
        <v>8</v>
      </c>
      <c r="E5" s="4" t="s">
        <v>9</v>
      </c>
      <c r="F5" s="4" t="s">
        <v>5</v>
      </c>
      <c r="G5" s="4"/>
    </row>
    <row r="6" spans="1:7" x14ac:dyDescent="0.25">
      <c r="A6" s="4" t="s">
        <v>11</v>
      </c>
      <c r="B6" s="5">
        <v>9</v>
      </c>
      <c r="C6" s="5">
        <v>4</v>
      </c>
      <c r="D6" s="5">
        <v>3</v>
      </c>
      <c r="E6" s="5">
        <f>(B6*C6*D6)</f>
        <v>108</v>
      </c>
      <c r="F6" s="5">
        <f>(E6/1728)</f>
        <v>6.25E-2</v>
      </c>
      <c r="G6" s="4"/>
    </row>
    <row r="7" spans="1:7" s="1" customFormat="1" ht="30" x14ac:dyDescent="0.25">
      <c r="A7" s="6" t="s">
        <v>10</v>
      </c>
      <c r="B7" s="5">
        <f>(B6+0.5)</f>
        <v>9.5</v>
      </c>
      <c r="C7" s="5">
        <f>(C6+0.5)</f>
        <v>4.5</v>
      </c>
      <c r="D7" s="5">
        <f>(D6+0.5)</f>
        <v>3.5</v>
      </c>
      <c r="E7" s="5">
        <f>(B7*C7*D7)</f>
        <v>149.625</v>
      </c>
      <c r="F7" s="7">
        <f>(E7/1728)</f>
        <v>8.6588541666666671E-2</v>
      </c>
      <c r="G7" s="5"/>
    </row>
    <row r="8" spans="1:7" x14ac:dyDescent="0.25">
      <c r="A8" s="2"/>
      <c r="B8" s="2"/>
      <c r="C8" s="2"/>
      <c r="D8" s="2"/>
      <c r="E8" s="2"/>
      <c r="F8" s="2"/>
      <c r="G8" s="2"/>
    </row>
    <row r="9" spans="1:7" ht="60" x14ac:dyDescent="0.25">
      <c r="A9" s="6" t="s">
        <v>13</v>
      </c>
      <c r="B9" s="6" t="s">
        <v>14</v>
      </c>
      <c r="C9" s="5" t="s">
        <v>12</v>
      </c>
      <c r="D9" s="8" t="s">
        <v>12</v>
      </c>
      <c r="E9" s="6" t="s">
        <v>15</v>
      </c>
      <c r="F9" s="6" t="s">
        <v>16</v>
      </c>
      <c r="G9" s="9" t="s">
        <v>17</v>
      </c>
    </row>
    <row r="10" spans="1:7" s="1" customFormat="1" x14ac:dyDescent="0.25">
      <c r="A10" s="5">
        <f>E3</f>
        <v>168.75</v>
      </c>
      <c r="B10" s="7">
        <f>F7</f>
        <v>8.6588541666666671E-2</v>
      </c>
      <c r="C10" s="5">
        <f>(A10/B10)</f>
        <v>1948.8721804511276</v>
      </c>
      <c r="D10" s="8">
        <f>ROUNDUP(C10,0)</f>
        <v>1949</v>
      </c>
      <c r="E10" s="5">
        <f>(D10/10)</f>
        <v>194.9</v>
      </c>
      <c r="F10" s="5">
        <f>ROUNDUP(E10,0)</f>
        <v>195</v>
      </c>
      <c r="G10" s="8">
        <f>(D10+F10)</f>
        <v>2144</v>
      </c>
    </row>
    <row r="11" spans="1:7" x14ac:dyDescent="0.25">
      <c r="A11" s="2"/>
      <c r="B11" s="2"/>
      <c r="C11" s="2"/>
      <c r="D11" s="2"/>
      <c r="E11" s="2"/>
      <c r="F11" s="2"/>
      <c r="G11" s="2"/>
    </row>
    <row r="12" spans="1:7" ht="30" x14ac:dyDescent="0.25">
      <c r="A12" s="12" t="s">
        <v>12</v>
      </c>
      <c r="B12" s="10" t="s">
        <v>18</v>
      </c>
      <c r="C12" s="10" t="s">
        <v>19</v>
      </c>
      <c r="D12" s="4"/>
      <c r="E12" s="4"/>
      <c r="F12" s="4"/>
      <c r="G12" s="4"/>
    </row>
    <row r="13" spans="1:7" s="1" customFormat="1" x14ac:dyDescent="0.25">
      <c r="A13" s="5">
        <f>D10</f>
        <v>1949</v>
      </c>
      <c r="B13" s="5">
        <f>F6</f>
        <v>6.25E-2</v>
      </c>
      <c r="C13" s="5">
        <f>(A13*B13)</f>
        <v>121.8125</v>
      </c>
      <c r="D13" s="5"/>
      <c r="E13" s="5"/>
      <c r="F13" s="5"/>
      <c r="G13" s="5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ht="45" x14ac:dyDescent="0.25">
      <c r="A15" s="10" t="s">
        <v>33</v>
      </c>
      <c r="B15" s="10" t="s">
        <v>19</v>
      </c>
      <c r="C15" s="10" t="s">
        <v>20</v>
      </c>
      <c r="D15" s="10" t="s">
        <v>21</v>
      </c>
      <c r="E15" s="10" t="s">
        <v>29</v>
      </c>
      <c r="F15" s="4"/>
      <c r="G15" s="4"/>
    </row>
    <row r="16" spans="1:7" s="1" customFormat="1" x14ac:dyDescent="0.25">
      <c r="A16" s="5">
        <f>E3</f>
        <v>168.75</v>
      </c>
      <c r="B16" s="5">
        <f>C13</f>
        <v>121.8125</v>
      </c>
      <c r="C16" s="5">
        <f>(A16-B16)</f>
        <v>46.9375</v>
      </c>
      <c r="D16" s="5">
        <f>(0.3*C16)</f>
        <v>14.081249999999999</v>
      </c>
      <c r="E16" s="5">
        <f>(C16+D16)</f>
        <v>61.018749999999997</v>
      </c>
      <c r="F16" s="5"/>
      <c r="G16" s="5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4"/>
      <c r="B18" s="4" t="s">
        <v>22</v>
      </c>
      <c r="C18" s="4" t="s">
        <v>23</v>
      </c>
      <c r="D18" s="5" t="s">
        <v>26</v>
      </c>
      <c r="E18" s="4"/>
      <c r="F18" s="4"/>
      <c r="G18" s="4"/>
    </row>
    <row r="19" spans="1:7" s="1" customFormat="1" x14ac:dyDescent="0.25">
      <c r="A19" s="5" t="s">
        <v>24</v>
      </c>
      <c r="B19" s="5">
        <v>1</v>
      </c>
      <c r="C19" s="5">
        <v>6</v>
      </c>
      <c r="D19" s="5">
        <f>(B19+C19)</f>
        <v>7</v>
      </c>
      <c r="E19" s="5"/>
      <c r="F19" s="5"/>
      <c r="G19" s="5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ht="30" x14ac:dyDescent="0.25">
      <c r="A21" s="5"/>
      <c r="B21" s="11" t="s">
        <v>27</v>
      </c>
      <c r="C21" s="6" t="s">
        <v>29</v>
      </c>
      <c r="D21" s="5" t="s">
        <v>30</v>
      </c>
      <c r="E21" s="6" t="s">
        <v>31</v>
      </c>
      <c r="F21" s="6" t="s">
        <v>32</v>
      </c>
      <c r="G21" s="6"/>
    </row>
    <row r="22" spans="1:7" s="1" customFormat="1" x14ac:dyDescent="0.25">
      <c r="A22" s="5" t="s">
        <v>25</v>
      </c>
      <c r="B22" s="5">
        <f>(B19/D19)</f>
        <v>0.14285714285714285</v>
      </c>
      <c r="C22" s="5">
        <f>E16</f>
        <v>61.018749999999997</v>
      </c>
      <c r="D22" s="5">
        <f>(1440/35.28)</f>
        <v>40.816326530612244</v>
      </c>
      <c r="E22" s="5">
        <f>(B22*C22*D22)</f>
        <v>355.79446064139938</v>
      </c>
      <c r="F22" s="8">
        <f>(E22/50)</f>
        <v>7.1158892128279874</v>
      </c>
      <c r="G22" s="5"/>
    </row>
    <row r="23" spans="1:7" s="1" customFormat="1" x14ac:dyDescent="0.25">
      <c r="A23" s="3"/>
      <c r="B23" s="3"/>
      <c r="C23" s="3"/>
      <c r="D23" s="3"/>
      <c r="E23" s="3"/>
      <c r="F23" s="3"/>
      <c r="G23" s="3"/>
    </row>
    <row r="24" spans="1:7" s="1" customFormat="1" ht="30" x14ac:dyDescent="0.25">
      <c r="A24" s="5"/>
      <c r="B24" s="11" t="s">
        <v>28</v>
      </c>
      <c r="C24" s="10" t="s">
        <v>29</v>
      </c>
      <c r="D24" s="6" t="s">
        <v>34</v>
      </c>
      <c r="E24" s="6" t="s">
        <v>35</v>
      </c>
      <c r="F24" s="6"/>
      <c r="G24" s="5"/>
    </row>
    <row r="25" spans="1:7" x14ac:dyDescent="0.25">
      <c r="A25" s="5" t="s">
        <v>23</v>
      </c>
      <c r="B25" s="4">
        <f>(C19/D19)</f>
        <v>0.8571428571428571</v>
      </c>
      <c r="C25" s="4">
        <f>E16</f>
        <v>61.018749999999997</v>
      </c>
      <c r="D25" s="4">
        <f>(B25*C25)</f>
        <v>52.301785714285707</v>
      </c>
      <c r="E25" s="13">
        <f>(D25/100)</f>
        <v>0.52301785714285709</v>
      </c>
      <c r="F25" s="4"/>
      <c r="G25" s="4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s="1" customFormat="1" x14ac:dyDescent="0.25">
      <c r="A27" s="5"/>
      <c r="B27" s="5" t="s">
        <v>12</v>
      </c>
      <c r="C27" s="5" t="s">
        <v>36</v>
      </c>
      <c r="D27" s="5" t="s">
        <v>37</v>
      </c>
      <c r="E27" s="5" t="s">
        <v>38</v>
      </c>
      <c r="F27" s="5" t="s">
        <v>39</v>
      </c>
      <c r="G27" s="5"/>
    </row>
    <row r="28" spans="1:7" s="1" customFormat="1" x14ac:dyDescent="0.25">
      <c r="A28" s="5"/>
      <c r="B28" s="5">
        <f>D10</f>
        <v>1949</v>
      </c>
      <c r="C28" s="5">
        <f>F10</f>
        <v>195</v>
      </c>
      <c r="D28" s="8">
        <f>G10</f>
        <v>2144</v>
      </c>
      <c r="E28" s="8">
        <f>F22</f>
        <v>7.1158892128279874</v>
      </c>
      <c r="F28" s="8">
        <f>E25</f>
        <v>0.52301785714285709</v>
      </c>
      <c r="G28" s="5"/>
    </row>
    <row r="29" spans="1:7" x14ac:dyDescent="0.25">
      <c r="D29" s="5" t="s">
        <v>37</v>
      </c>
      <c r="E29" s="5" t="s">
        <v>38</v>
      </c>
      <c r="F29" s="5" t="s">
        <v>39</v>
      </c>
      <c r="G29" s="5" t="s">
        <v>44</v>
      </c>
    </row>
    <row r="30" spans="1:7" x14ac:dyDescent="0.25">
      <c r="C30" s="15" t="s">
        <v>42</v>
      </c>
      <c r="D30" s="5">
        <v>2144</v>
      </c>
      <c r="E30" s="5">
        <v>7.11</v>
      </c>
      <c r="F30" s="5">
        <v>0.52</v>
      </c>
      <c r="G30" s="5"/>
    </row>
    <row r="31" spans="1:7" x14ac:dyDescent="0.25">
      <c r="C31" s="15" t="s">
        <v>1</v>
      </c>
      <c r="D31" s="5">
        <v>15630</v>
      </c>
      <c r="E31" s="5">
        <v>51.88</v>
      </c>
      <c r="F31" s="5">
        <v>3.81</v>
      </c>
      <c r="G31" s="5"/>
    </row>
    <row r="32" spans="1:7" x14ac:dyDescent="0.25">
      <c r="C32" s="15" t="s">
        <v>43</v>
      </c>
      <c r="D32" s="8">
        <f>SUM(D30:D31)</f>
        <v>17774</v>
      </c>
      <c r="E32" s="8">
        <f>SUM(E30:E31)</f>
        <v>58.99</v>
      </c>
      <c r="F32" s="8">
        <f>SUM(F30:F31)</f>
        <v>4.33</v>
      </c>
      <c r="G32" s="12"/>
    </row>
    <row r="33" spans="3:7" x14ac:dyDescent="0.25">
      <c r="C33" s="15" t="s">
        <v>41</v>
      </c>
      <c r="D33" s="8">
        <v>7</v>
      </c>
      <c r="E33" s="8">
        <v>360</v>
      </c>
      <c r="F33" s="8">
        <v>10000</v>
      </c>
      <c r="G33" s="12"/>
    </row>
    <row r="34" spans="3:7" x14ac:dyDescent="0.25">
      <c r="C34" s="15" t="s">
        <v>40</v>
      </c>
      <c r="D34" s="5">
        <f>(D32*D33)</f>
        <v>124418</v>
      </c>
      <c r="E34" s="5">
        <f>(E32*E33)</f>
        <v>21236.400000000001</v>
      </c>
      <c r="F34" s="5">
        <f>(F32*F33)</f>
        <v>43300</v>
      </c>
      <c r="G34" s="5">
        <f>SUM(D34:F34)</f>
        <v>188954.4</v>
      </c>
    </row>
  </sheetData>
  <mergeCells count="1">
    <mergeCell ref="A1:G1"/>
  </mergeCells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Elamurugan GR</cp:lastModifiedBy>
  <dcterms:created xsi:type="dcterms:W3CDTF">2020-04-13T02:34:26Z</dcterms:created>
  <dcterms:modified xsi:type="dcterms:W3CDTF">2020-08-12T17:10:05Z</dcterms:modified>
</cp:coreProperties>
</file>