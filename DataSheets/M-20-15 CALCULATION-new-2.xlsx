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20730" windowHeight="11760" activeTab="5"/>
  </bookViews>
  <sheets>
    <sheet name="M-5" sheetId="9" r:id="rId1"/>
    <sheet name="M-7" sheetId="8" r:id="rId2"/>
    <sheet name="M-10" sheetId="7" r:id="rId3"/>
    <sheet name="M-15" sheetId="6" r:id="rId4"/>
    <sheet name="M-20" sheetId="1" r:id="rId5"/>
    <sheet name="M-25" sheetId="10" r:id="rId6"/>
    <sheet name="Sheet2" sheetId="2" r:id="rId7"/>
    <sheet name="Sheet3" sheetId="3" r:id="rId8"/>
    <sheet name="Sheet4" sheetId="5" r:id="rId9"/>
  </sheets>
  <calcPr calcId="144525"/>
</workbook>
</file>

<file path=xl/calcChain.xml><?xml version="1.0" encoding="utf-8"?>
<calcChain xmlns="http://schemas.openxmlformats.org/spreadsheetml/2006/main">
  <c r="J4" i="10" l="1"/>
  <c r="B18" i="10" s="1"/>
  <c r="J4" i="1"/>
  <c r="B15" i="1" s="1"/>
  <c r="J4" i="6"/>
  <c r="B12" i="6" s="1"/>
  <c r="J4" i="7"/>
  <c r="B18" i="7" s="1"/>
  <c r="J4" i="8"/>
  <c r="B18" i="8" s="1"/>
  <c r="J4" i="9"/>
  <c r="B17" i="9" s="1"/>
  <c r="D9" i="10"/>
  <c r="C9" i="10"/>
  <c r="B9" i="10"/>
  <c r="E4" i="10"/>
  <c r="E9" i="10" s="1"/>
  <c r="D15" i="10" s="1"/>
  <c r="D7" i="9"/>
  <c r="C7" i="9"/>
  <c r="B7" i="9"/>
  <c r="E4" i="9"/>
  <c r="E7" i="9" s="1"/>
  <c r="D14" i="9" s="1"/>
  <c r="D9" i="8"/>
  <c r="C9" i="8"/>
  <c r="B9" i="8"/>
  <c r="E4" i="8"/>
  <c r="E9" i="8" s="1"/>
  <c r="D15" i="8" s="1"/>
  <c r="D9" i="7"/>
  <c r="C9" i="7"/>
  <c r="B9" i="7"/>
  <c r="E4" i="7"/>
  <c r="E9" i="7" s="1"/>
  <c r="D9" i="6"/>
  <c r="C9" i="6"/>
  <c r="B9" i="6"/>
  <c r="E4" i="6"/>
  <c r="E9" i="6" s="1"/>
  <c r="D15" i="6" s="1"/>
  <c r="J8" i="5"/>
  <c r="I8" i="5"/>
  <c r="H8" i="5"/>
  <c r="G8" i="5"/>
  <c r="F8" i="5"/>
  <c r="D18" i="7" l="1"/>
  <c r="D15" i="7"/>
  <c r="B12" i="7"/>
  <c r="B15" i="6"/>
  <c r="F15" i="6" s="1"/>
  <c r="G15" i="6" s="1"/>
  <c r="H15" i="6" s="1"/>
  <c r="B18" i="1"/>
  <c r="F4" i="7"/>
  <c r="F9" i="7" s="1"/>
  <c r="B11" i="9"/>
  <c r="B12" i="8"/>
  <c r="B15" i="7"/>
  <c r="F15" i="7" s="1"/>
  <c r="G15" i="7" s="1"/>
  <c r="H15" i="7" s="1"/>
  <c r="B18" i="6"/>
  <c r="B12" i="10"/>
  <c r="F4" i="6"/>
  <c r="F9" i="6" s="1"/>
  <c r="F4" i="8"/>
  <c r="F9" i="8" s="1"/>
  <c r="F4" i="10"/>
  <c r="F9" i="10" s="1"/>
  <c r="B14" i="9"/>
  <c r="F14" i="9" s="1"/>
  <c r="G14" i="9" s="1"/>
  <c r="H14" i="9" s="1"/>
  <c r="B15" i="8"/>
  <c r="F15" i="8" s="1"/>
  <c r="G15" i="8" s="1"/>
  <c r="H15" i="8" s="1"/>
  <c r="B12" i="1"/>
  <c r="B15" i="10"/>
  <c r="F15" i="10" s="1"/>
  <c r="G15" i="10" s="1"/>
  <c r="H15" i="10" s="1"/>
  <c r="K8" i="5"/>
  <c r="F4" i="9"/>
  <c r="F7" i="9" s="1"/>
  <c r="D12" i="10"/>
  <c r="E12" i="10" s="1"/>
  <c r="G12" i="10" s="1"/>
  <c r="H12" i="10" s="1"/>
  <c r="I12" i="10" s="1"/>
  <c r="D18" i="10"/>
  <c r="F18" i="10" s="1"/>
  <c r="G18" i="10" s="1"/>
  <c r="H18" i="10" s="1"/>
  <c r="D11" i="9"/>
  <c r="E11" i="9" s="1"/>
  <c r="G11" i="9" s="1"/>
  <c r="H11" i="9" s="1"/>
  <c r="I11" i="9" s="1"/>
  <c r="D17" i="9"/>
  <c r="F17" i="9" s="1"/>
  <c r="G17" i="9" s="1"/>
  <c r="H17" i="9" s="1"/>
  <c r="D12" i="8"/>
  <c r="E12" i="8" s="1"/>
  <c r="G12" i="8" s="1"/>
  <c r="H12" i="8" s="1"/>
  <c r="I12" i="8" s="1"/>
  <c r="D18" i="8"/>
  <c r="F18" i="8" s="1"/>
  <c r="G18" i="8" s="1"/>
  <c r="H18" i="8" s="1"/>
  <c r="F18" i="7"/>
  <c r="G18" i="7" s="1"/>
  <c r="H18" i="7" s="1"/>
  <c r="D12" i="7"/>
  <c r="E12" i="7" s="1"/>
  <c r="G12" i="7" s="1"/>
  <c r="H12" i="7" s="1"/>
  <c r="I12" i="7" s="1"/>
  <c r="D12" i="6"/>
  <c r="E12" i="6" s="1"/>
  <c r="G12" i="6" s="1"/>
  <c r="H12" i="6" s="1"/>
  <c r="I12" i="6" s="1"/>
  <c r="D18" i="6"/>
  <c r="F18" i="6" s="1"/>
  <c r="G18" i="6" s="1"/>
  <c r="H18" i="6" s="1"/>
  <c r="M8" i="5"/>
  <c r="L8" i="5"/>
  <c r="K12" i="3"/>
  <c r="M12" i="3" s="1"/>
  <c r="I12" i="3"/>
  <c r="H12" i="3"/>
  <c r="J12" i="3" s="1"/>
  <c r="L12" i="3" s="1"/>
  <c r="B18" i="3" s="1"/>
  <c r="D18" i="3" s="1"/>
  <c r="F18" i="3" s="1"/>
  <c r="I18" i="3" s="1"/>
  <c r="G12" i="3"/>
  <c r="F12" i="3"/>
  <c r="E12" i="3"/>
  <c r="K18" i="3" l="1"/>
  <c r="M18" i="3"/>
  <c r="G11" i="2" l="1"/>
  <c r="H11" i="2" s="1"/>
  <c r="E11" i="2"/>
  <c r="C11" i="2" s="1"/>
  <c r="D11" i="2" s="1"/>
  <c r="G10" i="2"/>
  <c r="H10" i="2" s="1"/>
  <c r="E10" i="2"/>
  <c r="C10" i="2" s="1"/>
  <c r="D10" i="2" s="1"/>
  <c r="G9" i="2"/>
  <c r="H9" i="2" s="1"/>
  <c r="E9" i="2"/>
  <c r="D9" i="2"/>
  <c r="G8" i="2"/>
  <c r="H8" i="2" s="1"/>
  <c r="E8" i="2"/>
  <c r="D8" i="2"/>
  <c r="G7" i="2"/>
  <c r="H7" i="2" s="1"/>
  <c r="L7" i="2" s="1"/>
  <c r="E7" i="2"/>
  <c r="D7" i="2"/>
  <c r="G6" i="2"/>
  <c r="H6" i="2" s="1"/>
  <c r="I6" i="2" s="1"/>
  <c r="J6" i="2" s="1"/>
  <c r="E6" i="2"/>
  <c r="D6" i="2"/>
  <c r="G5" i="2"/>
  <c r="H5" i="2" s="1"/>
  <c r="E5" i="2"/>
  <c r="D5" i="2"/>
  <c r="G4" i="2"/>
  <c r="H4" i="2" s="1"/>
  <c r="L4" i="2" s="1"/>
  <c r="E4" i="2"/>
  <c r="D4" i="2"/>
  <c r="G3" i="2"/>
  <c r="H3" i="2" s="1"/>
  <c r="L3" i="2" s="1"/>
  <c r="E3" i="2"/>
  <c r="C3" i="2" s="1"/>
  <c r="D3" i="2" s="1"/>
  <c r="I3" i="2" s="1"/>
  <c r="J3" i="2" s="1"/>
  <c r="L8" i="2" l="1"/>
  <c r="I8" i="2"/>
  <c r="J8" i="2" s="1"/>
  <c r="I4" i="2"/>
  <c r="J4" i="2" s="1"/>
  <c r="I7" i="2"/>
  <c r="J7" i="2" s="1"/>
  <c r="I5" i="2"/>
  <c r="J5" i="2" s="1"/>
  <c r="L5" i="2"/>
  <c r="I10" i="2"/>
  <c r="J10" i="2" s="1"/>
  <c r="L10" i="2"/>
  <c r="I9" i="2"/>
  <c r="J9" i="2" s="1"/>
  <c r="L9" i="2"/>
  <c r="I11" i="2"/>
  <c r="J11" i="2" s="1"/>
  <c r="L11" i="2"/>
  <c r="L6" i="2"/>
  <c r="B9" i="1"/>
  <c r="C9" i="1"/>
  <c r="D9" i="1"/>
  <c r="E4" i="1"/>
  <c r="E9" i="1" s="1"/>
  <c r="F4" i="1" l="1"/>
  <c r="F9" i="1" s="1"/>
  <c r="D15" i="1"/>
  <c r="F15" i="1" s="1"/>
  <c r="G15" i="1" s="1"/>
  <c r="H15" i="1" s="1"/>
  <c r="D18" i="1"/>
  <c r="F18" i="1" s="1"/>
  <c r="G18" i="1" s="1"/>
  <c r="H18" i="1" s="1"/>
  <c r="D12" i="1"/>
  <c r="E12" i="1" s="1"/>
  <c r="G12" i="1" s="1"/>
  <c r="H12" i="1" s="1"/>
  <c r="I12" i="1" s="1"/>
</calcChain>
</file>

<file path=xl/sharedStrings.xml><?xml version="1.0" encoding="utf-8"?>
<sst xmlns="http://schemas.openxmlformats.org/spreadsheetml/2006/main" count="268" uniqueCount="98">
  <si>
    <t>M-20 CONCRETE    (1 : 1.5 : 3)</t>
  </si>
  <si>
    <t>ePsk;</t>
  </si>
  <si>
    <t>mfyk;</t>
  </si>
  <si>
    <t>cauk;</t>
  </si>
  <si>
    <t>Volume (cft)</t>
  </si>
  <si>
    <t>volume cft</t>
  </si>
  <si>
    <t>voluume m3</t>
  </si>
  <si>
    <t>100 cft</t>
  </si>
  <si>
    <t>1 unit</t>
  </si>
  <si>
    <t>kzy;</t>
  </si>
  <si>
    <t>[y;yp</t>
  </si>
  <si>
    <t>rpnkz;l;</t>
  </si>
  <si>
    <t>Density</t>
  </si>
  <si>
    <t>Cement  Kg</t>
  </si>
  <si>
    <t>Cement bag</t>
  </si>
  <si>
    <t>Rounded bag</t>
  </si>
  <si>
    <r>
      <t>kzy; Njit fd msT (</t>
    </r>
    <r>
      <rPr>
        <b/>
        <sz val="11"/>
        <color theme="1"/>
        <rFont val="Arial"/>
        <family val="2"/>
      </rPr>
      <t>cft)</t>
    </r>
  </si>
  <si>
    <r>
      <t>kzy; Njit fd msT (</t>
    </r>
    <r>
      <rPr>
        <b/>
        <sz val="11"/>
        <color theme="1"/>
        <rFont val="Arial"/>
        <family val="2"/>
      </rPr>
      <t>unit)</t>
    </r>
  </si>
  <si>
    <r>
      <t>[y;yp Njit fd msT (</t>
    </r>
    <r>
      <rPr>
        <b/>
        <sz val="11"/>
        <color theme="1"/>
        <rFont val="Arial"/>
        <family val="2"/>
      </rPr>
      <t>cft)</t>
    </r>
  </si>
  <si>
    <r>
      <t>[y;yp Njit fd msT (</t>
    </r>
    <r>
      <rPr>
        <b/>
        <sz val="11"/>
        <color theme="1"/>
        <rFont val="Arial"/>
        <family val="2"/>
      </rPr>
      <t>unit)</t>
    </r>
  </si>
  <si>
    <r>
      <t>[y;yp  Njit fd msT (</t>
    </r>
    <r>
      <rPr>
        <b/>
        <sz val="11"/>
        <color theme="1"/>
        <rFont val="Arial"/>
        <family val="2"/>
      </rPr>
      <t>unit)</t>
    </r>
  </si>
  <si>
    <t>1/5.5</t>
  </si>
  <si>
    <t>1.5/5.5</t>
  </si>
  <si>
    <t>3/5.5</t>
  </si>
  <si>
    <r>
      <t>Volume m</t>
    </r>
    <r>
      <rPr>
        <b/>
        <vertAlign val="superscript"/>
        <sz val="11"/>
        <color theme="1"/>
        <rFont val="Arial"/>
        <family val="2"/>
      </rPr>
      <t>3</t>
    </r>
  </si>
  <si>
    <r>
      <t>voluume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</si>
  <si>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1/13</t>
  </si>
  <si>
    <t>4/13</t>
  </si>
  <si>
    <t>8/13</t>
  </si>
  <si>
    <t>Weight of steel bar</t>
  </si>
  <si>
    <t>Diameter</t>
  </si>
  <si>
    <t>TMT ROD PER BUNDLE</t>
  </si>
  <si>
    <t>TMT ROD WEIGHT  PER BUNDLE( Kg)</t>
  </si>
  <si>
    <t>WEIGHT  PER ROD</t>
  </si>
  <si>
    <t>TMT ROD WEIGHT  PER meter</t>
  </si>
  <si>
    <t>LENGTH IN FEET</t>
  </si>
  <si>
    <t>LENGTH IN METER</t>
  </si>
  <si>
    <t>WEIGHT</t>
  </si>
  <si>
    <t>NO OF TMT RODS</t>
  </si>
  <si>
    <t xml:space="preserve">RATE ON DATE </t>
  </si>
  <si>
    <t>RATE</t>
  </si>
  <si>
    <t>Length of TMT steel Rod will be 12 meters or 40 feet</t>
  </si>
  <si>
    <t>Cutting length of  a Diamond Stirrup</t>
  </si>
  <si>
    <t>Formula =4(x)+2( hook length)-3(90 degree bend)-2 ( 135 degree bend)</t>
  </si>
  <si>
    <t>a=Length - 2( clear cover) - one time Dia of stirrup steel bar</t>
  </si>
  <si>
    <t>b=Breath-2( clear cover)-one time Dia of stirrup steel bar</t>
  </si>
  <si>
    <r>
      <t>x</t>
    </r>
    <r>
      <rPr>
        <b/>
        <vertAlign val="superscript"/>
        <sz val="14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=(a/2)</t>
    </r>
    <r>
      <rPr>
        <b/>
        <vertAlign val="superscript"/>
        <sz val="14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+(b/2)</t>
    </r>
    <r>
      <rPr>
        <b/>
        <vertAlign val="superscript"/>
        <sz val="14"/>
        <color theme="1"/>
        <rFont val="Calibri"/>
        <family val="2"/>
        <scheme val="minor"/>
      </rPr>
      <t>2</t>
    </r>
  </si>
  <si>
    <t>Length (mm))</t>
  </si>
  <si>
    <t>Breath (mm)</t>
  </si>
  <si>
    <t>Clear cover</t>
  </si>
  <si>
    <t xml:space="preserve">one time Dia of stirrup steel bar </t>
  </si>
  <si>
    <t>Hook length-10 d</t>
  </si>
  <si>
    <t>135 degree bend  3d</t>
  </si>
  <si>
    <t>90 degree bend  2d</t>
  </si>
  <si>
    <t>a</t>
  </si>
  <si>
    <t>b</t>
  </si>
  <si>
    <t>a/2</t>
  </si>
  <si>
    <t>b/2</t>
  </si>
  <si>
    <r>
      <t>(a/2)</t>
    </r>
    <r>
      <rPr>
        <b/>
        <vertAlign val="superscript"/>
        <sz val="12"/>
        <color theme="1"/>
        <rFont val="Arial Black"/>
        <family val="2"/>
      </rPr>
      <t>2</t>
    </r>
  </si>
  <si>
    <r>
      <t>(b/2)</t>
    </r>
    <r>
      <rPr>
        <b/>
        <vertAlign val="superscript"/>
        <sz val="12"/>
        <color theme="1"/>
        <rFont val="Arial Black"/>
        <family val="2"/>
      </rPr>
      <t>2</t>
    </r>
  </si>
  <si>
    <r>
      <t>x</t>
    </r>
    <r>
      <rPr>
        <b/>
        <vertAlign val="superscript"/>
        <sz val="11"/>
        <color theme="1"/>
        <rFont val="Arial Black"/>
        <family val="2"/>
      </rPr>
      <t>2</t>
    </r>
  </si>
  <si>
    <t>x</t>
  </si>
  <si>
    <t>CUTTING LENGTH</t>
  </si>
  <si>
    <t>CUTTING LENGTH (mm)</t>
  </si>
  <si>
    <t>CUTTING LENGTH (meter)</t>
  </si>
  <si>
    <t>CUTTING LENGTH (inches)</t>
  </si>
  <si>
    <t>mm</t>
  </si>
  <si>
    <t>divde mm/25.4 = inches</t>
  </si>
  <si>
    <t>inches</t>
  </si>
  <si>
    <t>Cutting length of Rectangular Stirrup</t>
  </si>
  <si>
    <t>Formula =2(a+b)+2( hook length)-3(90 degree bend)-2 ( 135 degree bend)</t>
  </si>
  <si>
    <t>a=Breath of the Beam-( 2×clear cover)-( one time Dia of stirrup steel bar)</t>
  </si>
  <si>
    <t>b=Depth of the Beam-( 2×clear cover)-( one time Dia of stirrup steel bar)</t>
  </si>
  <si>
    <t>Breath (mm))</t>
  </si>
  <si>
    <t>Depth (mm)</t>
  </si>
  <si>
    <t>Cutting length (mm)</t>
  </si>
  <si>
    <t>Cutting length (meter)</t>
  </si>
  <si>
    <t>Cutting length (inches)</t>
  </si>
  <si>
    <t>M-15 CONCRETE    (1 : 2 : 4)</t>
  </si>
  <si>
    <t>2/7</t>
  </si>
  <si>
    <t>1/7</t>
  </si>
  <si>
    <t>4/7</t>
  </si>
  <si>
    <t>M-15 CONCRETE    (1 : 3 : 6)</t>
  </si>
  <si>
    <t>1/10</t>
  </si>
  <si>
    <t>3/10</t>
  </si>
  <si>
    <t>6/10</t>
  </si>
  <si>
    <t>M-15 CONCRETE    (1 : 4 : 8)</t>
  </si>
  <si>
    <t>M-5 CONCRETE    (1 : 5 : 10)</t>
  </si>
  <si>
    <t>1/16</t>
  </si>
  <si>
    <t>5/16</t>
  </si>
  <si>
    <t>10/16</t>
  </si>
  <si>
    <t>M-20 CONCRETE    (1 : 1 : 2)</t>
  </si>
  <si>
    <t>1/4</t>
  </si>
  <si>
    <t>2/4</t>
  </si>
  <si>
    <t xml:space="preserve">Ratio </t>
  </si>
  <si>
    <t>Total</t>
  </si>
  <si>
    <t>Ratio</t>
  </si>
  <si>
    <t>Wet To Dry 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</si>
</sst>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20"/>
      <color theme="1"/>
      <name val="Arial Black"/>
      <family val="2"/>
    </font>
    <font>
      <sz val="20"/>
      <color theme="1"/>
      <name val="Calibri"/>
      <family val="2"/>
      <scheme val="minor"/>
    </font>
    <font>
      <sz val="11"/>
      <color theme="1"/>
      <name val="SunTommy"/>
    </font>
    <font>
      <b/>
      <sz val="11"/>
      <color theme="1"/>
      <name val="SunTommy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sz val="18"/>
      <color theme="1"/>
      <name val="Arial Black"/>
      <family val="2"/>
    </font>
    <font>
      <sz val="16"/>
      <color theme="1"/>
      <name val="Arial Black"/>
      <family val="2"/>
    </font>
    <font>
      <sz val="14"/>
      <color theme="1"/>
      <name val="Arial Black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perscript"/>
      <sz val="14"/>
      <color theme="1"/>
      <name val="Calibri"/>
      <family val="2"/>
      <scheme val="minor"/>
    </font>
    <font>
      <b/>
      <sz val="11"/>
      <color theme="1"/>
      <name val="Arial Black"/>
      <family val="2"/>
    </font>
    <font>
      <b/>
      <sz val="10"/>
      <color theme="1"/>
      <name val="Arial Black"/>
      <family val="2"/>
    </font>
    <font>
      <b/>
      <sz val="12"/>
      <color theme="1"/>
      <name val="Arial Black"/>
      <family val="2"/>
    </font>
    <font>
      <b/>
      <vertAlign val="superscript"/>
      <sz val="12"/>
      <color theme="1"/>
      <name val="Arial Black"/>
      <family val="2"/>
    </font>
    <font>
      <sz val="16"/>
      <color theme="1"/>
      <name val="Calibri"/>
      <family val="2"/>
      <scheme val="minor"/>
    </font>
    <font>
      <b/>
      <vertAlign val="superscript"/>
      <sz val="11"/>
      <color theme="1"/>
      <name val="Arial Black"/>
      <family val="2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5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5" fillId="3" borderId="0" xfId="0" applyFont="1" applyFill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left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1" fillId="0" borderId="0" xfId="0" applyFont="1"/>
    <xf numFmtId="0" fontId="24" fillId="0" borderId="0" xfId="0" applyFont="1" applyAlignment="1"/>
    <xf numFmtId="0" fontId="25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619125</xdr:colOff>
      <xdr:row>23</xdr:row>
      <xdr:rowOff>19050</xdr:rowOff>
    </xdr:from>
    <xdr:to>
      <xdr:col>7</xdr:col>
      <xdr:colOff>838614</xdr:colOff>
      <xdr:row>52</xdr:row>
      <xdr:rowOff>86506</xdr:rowOff>
    </xdr:to>
    <xdr:pic>
      <xdr:nvPicPr>
        <xdr:cNvPr id="2" name="Picture 1" descr="Untitled12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6725" y="7191375"/>
          <a:ext cx="2962689" cy="55919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266699</xdr:colOff>
      <xdr:row>9</xdr:row>
      <xdr:rowOff>76058</xdr:rowOff>
    </xdr:from>
    <xdr:to>
      <xdr:col>8</xdr:col>
      <xdr:colOff>30710</xdr:colOff>
      <xdr:row>21</xdr:row>
      <xdr:rowOff>152399</xdr:rowOff>
    </xdr:to>
    <xdr:pic>
      <xdr:nvPicPr>
        <xdr:cNvPr id="3" name="Picture 2" descr="456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90699" y="3333608"/>
          <a:ext cx="5250411" cy="36196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view="pageBreakPreview" topLeftCell="A6" zoomScaleSheetLayoutView="100" workbookViewId="0">
      <selection activeCell="C10" sqref="C10"/>
    </sheetView>
  </sheetViews>
  <sheetFormatPr defaultRowHeight="15"/>
  <cols>
    <col min="1" max="1" width="9.140625" style="2"/>
    <col min="3" max="3" width="12.7109375" customWidth="1"/>
    <col min="4" max="4" width="13" customWidth="1"/>
    <col min="5" max="5" width="12.28515625" customWidth="1"/>
    <col min="6" max="6" width="12.5703125" customWidth="1"/>
    <col min="7" max="7" width="14.140625" customWidth="1"/>
    <col min="8" max="8" width="18.7109375" customWidth="1"/>
    <col min="9" max="9" width="12.5703125" customWidth="1"/>
    <col min="10" max="10" width="15.42578125" customWidth="1"/>
  </cols>
  <sheetData>
    <row r="1" spans="1:14" ht="15" customHeight="1">
      <c r="A1" s="57" t="s">
        <v>87</v>
      </c>
      <c r="B1" s="57"/>
      <c r="C1" s="57"/>
      <c r="D1" s="57"/>
      <c r="E1" s="57"/>
      <c r="F1" s="57"/>
      <c r="G1" s="57"/>
      <c r="H1" s="57"/>
      <c r="I1" s="57"/>
      <c r="J1" s="20"/>
      <c r="K1" s="20"/>
      <c r="L1" s="20"/>
      <c r="M1" s="20"/>
      <c r="N1" s="20"/>
    </row>
    <row r="2" spans="1:14" ht="15" customHeight="1">
      <c r="A2" s="58"/>
      <c r="B2" s="58"/>
      <c r="C2" s="58"/>
      <c r="D2" s="58"/>
      <c r="E2" s="58"/>
      <c r="F2" s="58"/>
      <c r="G2" s="58"/>
      <c r="H2" s="58"/>
      <c r="I2" s="58"/>
      <c r="J2" s="20"/>
      <c r="K2" s="20"/>
      <c r="L2" s="20"/>
      <c r="M2" s="20"/>
      <c r="N2" s="20"/>
    </row>
    <row r="3" spans="1:14" s="1" customFormat="1" ht="30" customHeight="1">
      <c r="A3" s="10"/>
      <c r="B3" s="14" t="s">
        <v>1</v>
      </c>
      <c r="C3" s="14" t="s">
        <v>2</v>
      </c>
      <c r="D3" s="14" t="s">
        <v>3</v>
      </c>
      <c r="E3" s="15" t="s">
        <v>4</v>
      </c>
      <c r="F3" s="15" t="s">
        <v>24</v>
      </c>
      <c r="G3" s="59" t="s">
        <v>96</v>
      </c>
      <c r="H3" s="60"/>
      <c r="I3" s="61"/>
      <c r="J3" s="56" t="s">
        <v>95</v>
      </c>
    </row>
    <row r="4" spans="1:14" ht="26.25" customHeight="1">
      <c r="A4" s="4">
        <v>1</v>
      </c>
      <c r="B4" s="51">
        <v>40</v>
      </c>
      <c r="C4" s="51">
        <v>0.75</v>
      </c>
      <c r="D4" s="51">
        <v>10</v>
      </c>
      <c r="E4" s="51">
        <f>(B4*C4*D4)</f>
        <v>300</v>
      </c>
      <c r="F4" s="51">
        <f>(E4/35.28)</f>
        <v>8.5034013605442169</v>
      </c>
      <c r="G4" s="52">
        <v>1</v>
      </c>
      <c r="H4" s="52">
        <v>5</v>
      </c>
      <c r="I4" s="52">
        <v>10</v>
      </c>
      <c r="J4" s="52">
        <f>(G4+H4+I4)</f>
        <v>16</v>
      </c>
    </row>
    <row r="5" spans="1:14" ht="26.25" customHeight="1">
      <c r="A5" s="4">
        <v>2</v>
      </c>
      <c r="B5" s="4"/>
      <c r="C5" s="4"/>
      <c r="D5" s="4"/>
      <c r="E5" s="4"/>
      <c r="F5" s="4"/>
      <c r="G5" s="3"/>
      <c r="H5" s="9"/>
      <c r="I5" s="9"/>
      <c r="J5" s="9"/>
    </row>
    <row r="6" spans="1:14" ht="26.25" customHeight="1">
      <c r="A6" s="4">
        <v>3</v>
      </c>
      <c r="B6" s="4"/>
      <c r="C6" s="4"/>
      <c r="D6" s="4"/>
      <c r="E6" s="4"/>
      <c r="F6" s="4"/>
      <c r="G6" s="3"/>
      <c r="H6" s="9"/>
      <c r="I6" s="9"/>
      <c r="J6" s="9"/>
    </row>
    <row r="7" spans="1:14" s="2" customFormat="1" ht="30" customHeight="1">
      <c r="A7" s="4"/>
      <c r="B7" s="51">
        <f>SUM(B4:B6)</f>
        <v>40</v>
      </c>
      <c r="C7" s="51">
        <f>SUM(C4:C6)</f>
        <v>0.75</v>
      </c>
      <c r="D7" s="51">
        <f>SUM(D4:D6)</f>
        <v>10</v>
      </c>
      <c r="E7" s="51">
        <f>SUM(E4:E6)</f>
        <v>300</v>
      </c>
      <c r="F7" s="51">
        <f>SUM(F4:F6)</f>
        <v>8.5034013605442169</v>
      </c>
      <c r="G7" s="3"/>
      <c r="H7" s="4"/>
      <c r="I7" s="4"/>
      <c r="J7" s="4"/>
    </row>
    <row r="8" spans="1:14" s="2" customFormat="1" ht="30" customHeight="1">
      <c r="A8" s="53" t="s">
        <v>94</v>
      </c>
      <c r="B8" s="54">
        <v>1</v>
      </c>
      <c r="C8" s="54">
        <v>5</v>
      </c>
      <c r="D8" s="54">
        <v>10</v>
      </c>
      <c r="E8" s="54"/>
      <c r="F8" s="54"/>
      <c r="G8" s="55"/>
      <c r="H8" s="53"/>
      <c r="I8" s="53"/>
    </row>
    <row r="9" spans="1:14" ht="30" customHeight="1">
      <c r="A9" s="6"/>
      <c r="B9" s="7"/>
      <c r="C9" s="7"/>
      <c r="D9" s="7"/>
      <c r="E9" s="7"/>
      <c r="F9" s="7"/>
      <c r="G9" s="7"/>
      <c r="H9" s="7"/>
      <c r="I9" s="7"/>
    </row>
    <row r="10" spans="1:14" ht="30" customHeight="1">
      <c r="A10" s="4"/>
      <c r="B10" s="22" t="s">
        <v>88</v>
      </c>
      <c r="C10" s="78" t="s">
        <v>97</v>
      </c>
      <c r="D10" s="16" t="s">
        <v>5</v>
      </c>
      <c r="E10" s="16" t="s">
        <v>25</v>
      </c>
      <c r="F10" s="15" t="s">
        <v>12</v>
      </c>
      <c r="G10" s="15" t="s">
        <v>13</v>
      </c>
      <c r="H10" s="15" t="s">
        <v>14</v>
      </c>
      <c r="I10" s="16" t="s">
        <v>15</v>
      </c>
    </row>
    <row r="11" spans="1:14" ht="30" customHeight="1">
      <c r="A11" s="10" t="s">
        <v>11</v>
      </c>
      <c r="B11" s="51">
        <f>(G4/J4)</f>
        <v>6.25E-2</v>
      </c>
      <c r="C11" s="51">
        <v>1.54</v>
      </c>
      <c r="D11" s="21">
        <f>E7</f>
        <v>300</v>
      </c>
      <c r="E11" s="51">
        <f>(D11/35.28)</f>
        <v>8.5034013605442169</v>
      </c>
      <c r="F11" s="51">
        <v>1440</v>
      </c>
      <c r="G11" s="51">
        <f>(B11*C11*E11*F11)</f>
        <v>1178.5714285714284</v>
      </c>
      <c r="H11" s="51">
        <f>(G11/50)</f>
        <v>23.571428571428569</v>
      </c>
      <c r="I11" s="13">
        <f>ROUND(H11,0)</f>
        <v>24</v>
      </c>
    </row>
    <row r="12" spans="1:14" ht="30" customHeight="1">
      <c r="A12" s="5"/>
      <c r="B12" s="6"/>
      <c r="C12" s="7"/>
      <c r="D12" s="7"/>
      <c r="E12" s="7"/>
      <c r="F12" s="7"/>
      <c r="G12" s="7"/>
      <c r="H12" s="7"/>
      <c r="I12" s="7"/>
    </row>
    <row r="13" spans="1:14" ht="42.75" customHeight="1">
      <c r="A13" s="10"/>
      <c r="B13" s="22" t="s">
        <v>89</v>
      </c>
      <c r="C13" s="78" t="s">
        <v>97</v>
      </c>
      <c r="D13" s="19" t="s">
        <v>5</v>
      </c>
      <c r="E13" s="19" t="s">
        <v>6</v>
      </c>
      <c r="F13" s="17" t="s">
        <v>16</v>
      </c>
      <c r="G13" s="17" t="s">
        <v>17</v>
      </c>
      <c r="H13" s="18" t="s">
        <v>17</v>
      </c>
      <c r="I13" s="9"/>
    </row>
    <row r="14" spans="1:14" ht="30" customHeight="1">
      <c r="A14" s="10" t="s">
        <v>9</v>
      </c>
      <c r="B14" s="51">
        <f>(H4/J4)</f>
        <v>0.3125</v>
      </c>
      <c r="C14" s="51">
        <v>1.54</v>
      </c>
      <c r="D14" s="51">
        <f>E7</f>
        <v>300</v>
      </c>
      <c r="E14" s="51"/>
      <c r="F14" s="51">
        <f>(B14*C14*D14)</f>
        <v>144.375</v>
      </c>
      <c r="G14" s="51">
        <f>(F14/100)</f>
        <v>1.4437500000000001</v>
      </c>
      <c r="H14" s="13">
        <f>ROUNDUP(G14,0)</f>
        <v>2</v>
      </c>
      <c r="I14" s="11"/>
    </row>
    <row r="15" spans="1:14" ht="30" customHeight="1">
      <c r="A15" s="5"/>
      <c r="B15" s="7"/>
      <c r="C15" s="7"/>
      <c r="D15" s="7"/>
      <c r="E15" s="7"/>
      <c r="F15" s="7"/>
      <c r="G15" s="7"/>
      <c r="H15" s="7"/>
      <c r="I15" s="8"/>
    </row>
    <row r="16" spans="1:14" ht="51" customHeight="1">
      <c r="A16" s="10"/>
      <c r="B16" s="22" t="s">
        <v>90</v>
      </c>
      <c r="C16" s="78" t="s">
        <v>97</v>
      </c>
      <c r="D16" s="16" t="s">
        <v>5</v>
      </c>
      <c r="E16" s="16" t="s">
        <v>6</v>
      </c>
      <c r="F16" s="18" t="s">
        <v>18</v>
      </c>
      <c r="G16" s="18" t="s">
        <v>19</v>
      </c>
      <c r="H16" s="18" t="s">
        <v>20</v>
      </c>
      <c r="I16" s="9"/>
    </row>
    <row r="17" spans="1:9" s="2" customFormat="1" ht="30" customHeight="1">
      <c r="A17" s="10" t="s">
        <v>10</v>
      </c>
      <c r="B17" s="51">
        <f>(I4/J4)</f>
        <v>0.625</v>
      </c>
      <c r="C17" s="51">
        <v>1.54</v>
      </c>
      <c r="D17" s="51">
        <f>E7</f>
        <v>300</v>
      </c>
      <c r="E17" s="51"/>
      <c r="F17" s="51">
        <f>(B17*C17*D17)</f>
        <v>288.75</v>
      </c>
      <c r="G17" s="51">
        <f>(F17/100)</f>
        <v>2.8875000000000002</v>
      </c>
      <c r="H17" s="13">
        <f>ROUND(G17,0)</f>
        <v>3</v>
      </c>
      <c r="I17" s="4"/>
    </row>
    <row r="33" spans="9:10">
      <c r="J33" t="s">
        <v>8</v>
      </c>
    </row>
    <row r="34" spans="9:10">
      <c r="I34" t="s">
        <v>7</v>
      </c>
    </row>
  </sheetData>
  <mergeCells count="2">
    <mergeCell ref="A1:I2"/>
    <mergeCell ref="G3:I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opLeftCell="A19" workbookViewId="0">
      <selection activeCell="C17" sqref="C17"/>
    </sheetView>
  </sheetViews>
  <sheetFormatPr defaultRowHeight="15"/>
  <cols>
    <col min="1" max="1" width="9.140625" style="2"/>
    <col min="3" max="3" width="12.7109375" customWidth="1"/>
    <col min="4" max="4" width="13" customWidth="1"/>
    <col min="5" max="5" width="12.28515625" customWidth="1"/>
    <col min="6" max="6" width="12.5703125" customWidth="1"/>
    <col min="7" max="7" width="14.140625" customWidth="1"/>
    <col min="8" max="8" width="18.7109375" customWidth="1"/>
    <col min="9" max="9" width="14.7109375" customWidth="1"/>
    <col min="10" max="10" width="15.42578125" customWidth="1"/>
  </cols>
  <sheetData>
    <row r="1" spans="1:14" ht="15" customHeight="1">
      <c r="A1" s="57" t="s">
        <v>86</v>
      </c>
      <c r="B1" s="57"/>
      <c r="C1" s="57"/>
      <c r="D1" s="57"/>
      <c r="E1" s="57"/>
      <c r="F1" s="57"/>
      <c r="G1" s="57"/>
      <c r="H1" s="57"/>
      <c r="I1" s="57"/>
      <c r="J1" s="20"/>
      <c r="K1" s="20"/>
      <c r="L1" s="20"/>
      <c r="M1" s="20"/>
      <c r="N1" s="20"/>
    </row>
    <row r="2" spans="1:14" ht="15" customHeight="1">
      <c r="A2" s="58"/>
      <c r="B2" s="58"/>
      <c r="C2" s="58"/>
      <c r="D2" s="58"/>
      <c r="E2" s="58"/>
      <c r="F2" s="58"/>
      <c r="G2" s="58"/>
      <c r="H2" s="58"/>
      <c r="I2" s="58"/>
      <c r="J2" s="20"/>
      <c r="K2" s="20"/>
      <c r="L2" s="20"/>
      <c r="M2" s="20"/>
      <c r="N2" s="20"/>
    </row>
    <row r="3" spans="1:14" s="1" customFormat="1" ht="30" customHeight="1">
      <c r="A3" s="10"/>
      <c r="B3" s="14" t="s">
        <v>1</v>
      </c>
      <c r="C3" s="14" t="s">
        <v>2</v>
      </c>
      <c r="D3" s="14" t="s">
        <v>3</v>
      </c>
      <c r="E3" s="15" t="s">
        <v>4</v>
      </c>
      <c r="F3" s="15" t="s">
        <v>24</v>
      </c>
      <c r="G3" s="59" t="s">
        <v>96</v>
      </c>
      <c r="H3" s="60"/>
      <c r="I3" s="61"/>
      <c r="J3" s="56" t="s">
        <v>95</v>
      </c>
    </row>
    <row r="4" spans="1:14" ht="26.25" customHeight="1">
      <c r="A4" s="4">
        <v>1</v>
      </c>
      <c r="B4" s="51">
        <v>40</v>
      </c>
      <c r="C4" s="51">
        <v>0.75</v>
      </c>
      <c r="D4" s="51">
        <v>10</v>
      </c>
      <c r="E4" s="51">
        <f>(B4*C4*D4)</f>
        <v>300</v>
      </c>
      <c r="F4" s="51">
        <f>(E4/35.28)</f>
        <v>8.5034013605442169</v>
      </c>
      <c r="G4" s="52">
        <v>1</v>
      </c>
      <c r="H4" s="52">
        <v>4</v>
      </c>
      <c r="I4" s="52">
        <v>8</v>
      </c>
      <c r="J4" s="52">
        <f>(G4+H4+I4)</f>
        <v>13</v>
      </c>
    </row>
    <row r="5" spans="1:14" ht="26.25" customHeight="1">
      <c r="A5" s="4">
        <v>2</v>
      </c>
      <c r="B5" s="4"/>
      <c r="C5" s="4"/>
      <c r="D5" s="4"/>
      <c r="E5" s="4"/>
      <c r="F5" s="4"/>
      <c r="G5" s="3"/>
      <c r="H5" s="9"/>
      <c r="I5" s="9"/>
    </row>
    <row r="6" spans="1:14" ht="26.25" customHeight="1">
      <c r="A6" s="4">
        <v>3</v>
      </c>
      <c r="B6" s="4"/>
      <c r="C6" s="4"/>
      <c r="D6" s="4"/>
      <c r="E6" s="4"/>
      <c r="F6" s="4"/>
      <c r="G6" s="3"/>
      <c r="H6" s="9"/>
      <c r="I6" s="9"/>
    </row>
    <row r="7" spans="1:14" ht="26.25" customHeight="1">
      <c r="A7" s="4">
        <v>4</v>
      </c>
      <c r="B7" s="4"/>
      <c r="C7" s="4"/>
      <c r="D7" s="4"/>
      <c r="E7" s="4"/>
      <c r="F7" s="4"/>
      <c r="G7" s="3"/>
      <c r="H7" s="9"/>
      <c r="I7" s="9"/>
    </row>
    <row r="8" spans="1:14" ht="26.25" customHeight="1">
      <c r="A8" s="4">
        <v>5</v>
      </c>
      <c r="B8" s="4"/>
      <c r="C8" s="4"/>
      <c r="D8" s="4"/>
      <c r="E8" s="4"/>
      <c r="F8" s="4"/>
      <c r="G8" s="3"/>
      <c r="H8" s="9"/>
      <c r="I8" s="9"/>
    </row>
    <row r="9" spans="1:14" s="2" customFormat="1" ht="30" customHeight="1">
      <c r="A9" s="4"/>
      <c r="B9" s="51">
        <f>SUM(B4:B8)</f>
        <v>40</v>
      </c>
      <c r="C9" s="51">
        <f>SUM(C4:C8)</f>
        <v>0.75</v>
      </c>
      <c r="D9" s="51">
        <f>SUM(D4:D8)</f>
        <v>10</v>
      </c>
      <c r="E9" s="51">
        <f>SUM(E4:E8)</f>
        <v>300</v>
      </c>
      <c r="F9" s="51">
        <f>SUM(F4:F8)</f>
        <v>8.5034013605442169</v>
      </c>
      <c r="G9" s="3"/>
      <c r="H9" s="4"/>
      <c r="I9" s="4"/>
    </row>
    <row r="10" spans="1:14" ht="30" customHeight="1">
      <c r="A10" s="6"/>
      <c r="B10" s="7"/>
      <c r="C10" s="7"/>
      <c r="D10" s="7"/>
      <c r="E10" s="7"/>
      <c r="F10" s="7"/>
      <c r="G10" s="7"/>
      <c r="H10" s="7"/>
      <c r="I10" s="7"/>
    </row>
    <row r="11" spans="1:14" ht="30" customHeight="1">
      <c r="A11" s="4"/>
      <c r="B11" s="22" t="s">
        <v>26</v>
      </c>
      <c r="C11" s="78" t="s">
        <v>97</v>
      </c>
      <c r="D11" s="16" t="s">
        <v>5</v>
      </c>
      <c r="E11" s="16" t="s">
        <v>25</v>
      </c>
      <c r="F11" s="15" t="s">
        <v>12</v>
      </c>
      <c r="G11" s="15" t="s">
        <v>13</v>
      </c>
      <c r="H11" s="15" t="s">
        <v>14</v>
      </c>
      <c r="I11" s="16" t="s">
        <v>15</v>
      </c>
    </row>
    <row r="12" spans="1:14" ht="30" customHeight="1">
      <c r="A12" s="10" t="s">
        <v>11</v>
      </c>
      <c r="B12" s="51">
        <f>(G4/J4)</f>
        <v>7.6923076923076927E-2</v>
      </c>
      <c r="C12" s="51">
        <v>1.54</v>
      </c>
      <c r="D12" s="21">
        <f>E9</f>
        <v>300</v>
      </c>
      <c r="E12" s="51">
        <f>(D12/35.28)</f>
        <v>8.5034013605442169</v>
      </c>
      <c r="F12" s="51">
        <v>1440</v>
      </c>
      <c r="G12" s="51">
        <f>(B12*C12*E12*F12)</f>
        <v>1450.5494505494505</v>
      </c>
      <c r="H12" s="51">
        <f>(G12/50)</f>
        <v>29.010989010989011</v>
      </c>
      <c r="I12" s="13">
        <f>ROUND(H12,0)</f>
        <v>29</v>
      </c>
    </row>
    <row r="13" spans="1:14" ht="30" customHeight="1">
      <c r="A13" s="5"/>
      <c r="B13" s="6"/>
      <c r="C13" s="7"/>
      <c r="D13" s="7"/>
      <c r="E13" s="7"/>
      <c r="F13" s="7"/>
      <c r="G13" s="7"/>
      <c r="H13" s="7"/>
      <c r="I13" s="7"/>
    </row>
    <row r="14" spans="1:14" ht="42.75" customHeight="1">
      <c r="A14" s="10"/>
      <c r="B14" s="22" t="s">
        <v>27</v>
      </c>
      <c r="C14" s="78" t="s">
        <v>97</v>
      </c>
      <c r="D14" s="19" t="s">
        <v>5</v>
      </c>
      <c r="E14" s="19" t="s">
        <v>6</v>
      </c>
      <c r="F14" s="17" t="s">
        <v>16</v>
      </c>
      <c r="G14" s="17" t="s">
        <v>17</v>
      </c>
      <c r="H14" s="18" t="s">
        <v>17</v>
      </c>
      <c r="I14" s="9"/>
    </row>
    <row r="15" spans="1:14" ht="30" customHeight="1">
      <c r="A15" s="10" t="s">
        <v>9</v>
      </c>
      <c r="B15" s="51">
        <f>(H4/J4)</f>
        <v>0.30769230769230771</v>
      </c>
      <c r="C15" s="51">
        <v>1.54</v>
      </c>
      <c r="D15" s="51">
        <f>E9</f>
        <v>300</v>
      </c>
      <c r="E15" s="51"/>
      <c r="F15" s="51">
        <f>(B15*C15*D15)</f>
        <v>142.15384615384616</v>
      </c>
      <c r="G15" s="51">
        <f>(F15/100)</f>
        <v>1.4215384615384616</v>
      </c>
      <c r="H15" s="13">
        <f>ROUNDUP(G15,0)</f>
        <v>2</v>
      </c>
      <c r="I15" s="11"/>
    </row>
    <row r="16" spans="1:14" ht="30" customHeight="1">
      <c r="A16" s="5"/>
      <c r="B16" s="7"/>
      <c r="C16" s="7"/>
      <c r="D16" s="7"/>
      <c r="E16" s="7"/>
      <c r="F16" s="7"/>
      <c r="G16" s="7"/>
      <c r="H16" s="7"/>
      <c r="I16" s="8"/>
    </row>
    <row r="17" spans="1:9" ht="51" customHeight="1">
      <c r="A17" s="10"/>
      <c r="B17" s="22" t="s">
        <v>28</v>
      </c>
      <c r="C17" s="78" t="s">
        <v>97</v>
      </c>
      <c r="D17" s="16" t="s">
        <v>5</v>
      </c>
      <c r="E17" s="16" t="s">
        <v>6</v>
      </c>
      <c r="F17" s="18" t="s">
        <v>18</v>
      </c>
      <c r="G17" s="18" t="s">
        <v>19</v>
      </c>
      <c r="H17" s="18" t="s">
        <v>20</v>
      </c>
      <c r="I17" s="9"/>
    </row>
    <row r="18" spans="1:9" s="2" customFormat="1" ht="30" customHeight="1">
      <c r="A18" s="10" t="s">
        <v>10</v>
      </c>
      <c r="B18" s="51">
        <f>(I4/J4)</f>
        <v>0.61538461538461542</v>
      </c>
      <c r="C18" s="51">
        <v>1.54</v>
      </c>
      <c r="D18" s="51">
        <f>E9</f>
        <v>300</v>
      </c>
      <c r="E18" s="51"/>
      <c r="F18" s="51">
        <f>(B18*C18*D18)</f>
        <v>284.30769230769232</v>
      </c>
      <c r="G18" s="51">
        <f>(F18/100)</f>
        <v>2.8430769230769233</v>
      </c>
      <c r="H18" s="13">
        <f>ROUND(G18,0)</f>
        <v>3</v>
      </c>
      <c r="I18" s="4"/>
    </row>
    <row r="34" spans="9:10">
      <c r="J34" t="s">
        <v>8</v>
      </c>
    </row>
    <row r="35" spans="9:10">
      <c r="I35" t="s">
        <v>7</v>
      </c>
    </row>
  </sheetData>
  <mergeCells count="2">
    <mergeCell ref="A1:I2"/>
    <mergeCell ref="G3:I3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opLeftCell="A11" workbookViewId="0">
      <selection activeCell="C17" sqref="C17"/>
    </sheetView>
  </sheetViews>
  <sheetFormatPr defaultRowHeight="15"/>
  <cols>
    <col min="1" max="1" width="9.140625" style="2"/>
    <col min="3" max="3" width="12.7109375" customWidth="1"/>
    <col min="4" max="4" width="13" customWidth="1"/>
    <col min="5" max="5" width="12.28515625" customWidth="1"/>
    <col min="6" max="6" width="12.5703125" customWidth="1"/>
    <col min="7" max="7" width="14.140625" customWidth="1"/>
    <col min="8" max="8" width="18.7109375" customWidth="1"/>
    <col min="9" max="9" width="14.7109375" customWidth="1"/>
    <col min="10" max="10" width="15.42578125" customWidth="1"/>
  </cols>
  <sheetData>
    <row r="1" spans="1:14" ht="15" customHeight="1">
      <c r="A1" s="57" t="s">
        <v>82</v>
      </c>
      <c r="B1" s="57"/>
      <c r="C1" s="57"/>
      <c r="D1" s="57"/>
      <c r="E1" s="57"/>
      <c r="F1" s="57"/>
      <c r="G1" s="57"/>
      <c r="H1" s="57"/>
      <c r="I1" s="57"/>
      <c r="J1" s="20"/>
      <c r="K1" s="20"/>
      <c r="L1" s="20"/>
      <c r="M1" s="20"/>
      <c r="N1" s="20"/>
    </row>
    <row r="2" spans="1:14" ht="15" customHeight="1">
      <c r="A2" s="58"/>
      <c r="B2" s="58"/>
      <c r="C2" s="58"/>
      <c r="D2" s="58"/>
      <c r="E2" s="58"/>
      <c r="F2" s="58"/>
      <c r="G2" s="58"/>
      <c r="H2" s="58"/>
      <c r="I2" s="58"/>
      <c r="J2" s="20"/>
      <c r="K2" s="20"/>
      <c r="L2" s="20"/>
      <c r="M2" s="20"/>
      <c r="N2" s="20"/>
    </row>
    <row r="3" spans="1:14" s="1" customFormat="1" ht="30" customHeight="1">
      <c r="A3" s="10"/>
      <c r="B3" s="14" t="s">
        <v>1</v>
      </c>
      <c r="C3" s="14" t="s">
        <v>2</v>
      </c>
      <c r="D3" s="14" t="s">
        <v>3</v>
      </c>
      <c r="E3" s="15" t="s">
        <v>4</v>
      </c>
      <c r="F3" s="15" t="s">
        <v>24</v>
      </c>
      <c r="G3" s="59" t="s">
        <v>96</v>
      </c>
      <c r="H3" s="60"/>
      <c r="I3" s="61"/>
      <c r="J3" s="56" t="s">
        <v>95</v>
      </c>
    </row>
    <row r="4" spans="1:14" ht="26.25" customHeight="1">
      <c r="A4" s="4">
        <v>1</v>
      </c>
      <c r="B4" s="51">
        <v>40</v>
      </c>
      <c r="C4" s="51">
        <v>0.75</v>
      </c>
      <c r="D4" s="51">
        <v>10</v>
      </c>
      <c r="E4" s="51">
        <f>(B4*C4*D4)</f>
        <v>300</v>
      </c>
      <c r="F4" s="51">
        <f>(E4/35.28)</f>
        <v>8.5034013605442169</v>
      </c>
      <c r="G4" s="52">
        <v>1</v>
      </c>
      <c r="H4" s="52">
        <v>3</v>
      </c>
      <c r="I4" s="52">
        <v>6</v>
      </c>
      <c r="J4" s="52">
        <f>(G4+H4+I4)</f>
        <v>10</v>
      </c>
    </row>
    <row r="5" spans="1:14" ht="26.25" customHeight="1">
      <c r="A5" s="4">
        <v>2</v>
      </c>
      <c r="B5" s="4"/>
      <c r="C5" s="4"/>
      <c r="D5" s="4"/>
      <c r="E5" s="4"/>
      <c r="F5" s="4"/>
      <c r="G5" s="3"/>
      <c r="H5" s="9"/>
      <c r="I5" s="9"/>
    </row>
    <row r="6" spans="1:14" ht="26.25" customHeight="1">
      <c r="A6" s="4">
        <v>3</v>
      </c>
      <c r="B6" s="4"/>
      <c r="C6" s="4"/>
      <c r="D6" s="4"/>
      <c r="E6" s="4"/>
      <c r="F6" s="4"/>
      <c r="G6" s="3"/>
      <c r="H6" s="9"/>
      <c r="I6" s="9"/>
    </row>
    <row r="7" spans="1:14" ht="26.25" customHeight="1">
      <c r="A7" s="4">
        <v>4</v>
      </c>
      <c r="B7" s="4"/>
      <c r="C7" s="4"/>
      <c r="D7" s="4"/>
      <c r="E7" s="4"/>
      <c r="F7" s="4"/>
      <c r="G7" s="3"/>
      <c r="H7" s="9"/>
      <c r="I7" s="9"/>
    </row>
    <row r="8" spans="1:14" ht="26.25" customHeight="1">
      <c r="A8" s="4">
        <v>5</v>
      </c>
      <c r="B8" s="4"/>
      <c r="C8" s="4"/>
      <c r="D8" s="4"/>
      <c r="E8" s="4"/>
      <c r="F8" s="4"/>
      <c r="G8" s="3"/>
      <c r="H8" s="9"/>
      <c r="I8" s="9"/>
    </row>
    <row r="9" spans="1:14" s="2" customFormat="1" ht="30" customHeight="1">
      <c r="A9" s="4"/>
      <c r="B9" s="51">
        <f>SUM(B4:B8)</f>
        <v>40</v>
      </c>
      <c r="C9" s="51">
        <f>SUM(C4:C8)</f>
        <v>0.75</v>
      </c>
      <c r="D9" s="51">
        <f>SUM(D4:D8)</f>
        <v>10</v>
      </c>
      <c r="E9" s="51">
        <f>SUM(E4:E8)</f>
        <v>300</v>
      </c>
      <c r="F9" s="51">
        <f>SUM(F4:F8)</f>
        <v>8.5034013605442169</v>
      </c>
      <c r="G9" s="3"/>
      <c r="H9" s="4"/>
      <c r="I9" s="4"/>
    </row>
    <row r="10" spans="1:14" ht="30" customHeight="1">
      <c r="A10" s="6"/>
      <c r="B10" s="7"/>
      <c r="C10" s="7"/>
      <c r="D10" s="7"/>
      <c r="E10" s="7"/>
      <c r="F10" s="7"/>
      <c r="G10" s="7"/>
      <c r="H10" s="7"/>
      <c r="I10" s="7"/>
    </row>
    <row r="11" spans="1:14" ht="30" customHeight="1">
      <c r="A11" s="4"/>
      <c r="B11" s="22" t="s">
        <v>83</v>
      </c>
      <c r="C11" s="78" t="s">
        <v>97</v>
      </c>
      <c r="D11" s="16" t="s">
        <v>5</v>
      </c>
      <c r="E11" s="16" t="s">
        <v>25</v>
      </c>
      <c r="F11" s="15" t="s">
        <v>12</v>
      </c>
      <c r="G11" s="15" t="s">
        <v>13</v>
      </c>
      <c r="H11" s="15" t="s">
        <v>14</v>
      </c>
      <c r="I11" s="16" t="s">
        <v>15</v>
      </c>
    </row>
    <row r="12" spans="1:14" ht="30" customHeight="1">
      <c r="A12" s="10" t="s">
        <v>11</v>
      </c>
      <c r="B12" s="51">
        <f>(G4/J4)</f>
        <v>0.1</v>
      </c>
      <c r="C12" s="51">
        <v>1.54</v>
      </c>
      <c r="D12" s="21">
        <f>E9</f>
        <v>300</v>
      </c>
      <c r="E12" s="51">
        <f>(D12/35.28)</f>
        <v>8.5034013605442169</v>
      </c>
      <c r="F12" s="51">
        <v>1440</v>
      </c>
      <c r="G12" s="51">
        <f>(B12*C12*E12*F12)</f>
        <v>1885.7142857142858</v>
      </c>
      <c r="H12" s="51">
        <f>(G12/50)</f>
        <v>37.714285714285715</v>
      </c>
      <c r="I12" s="13">
        <f>ROUND(H12,0)</f>
        <v>38</v>
      </c>
    </row>
    <row r="13" spans="1:14" ht="30" customHeight="1">
      <c r="A13" s="5"/>
      <c r="B13" s="6"/>
      <c r="C13" s="7"/>
      <c r="D13" s="7"/>
      <c r="E13" s="7"/>
      <c r="F13" s="7"/>
      <c r="G13" s="7"/>
      <c r="H13" s="7"/>
      <c r="I13" s="7"/>
    </row>
    <row r="14" spans="1:14" ht="42.75" customHeight="1">
      <c r="A14" s="10"/>
      <c r="B14" s="22" t="s">
        <v>84</v>
      </c>
      <c r="C14" s="78" t="s">
        <v>97</v>
      </c>
      <c r="D14" s="19" t="s">
        <v>5</v>
      </c>
      <c r="E14" s="19" t="s">
        <v>6</v>
      </c>
      <c r="F14" s="17" t="s">
        <v>16</v>
      </c>
      <c r="G14" s="17" t="s">
        <v>17</v>
      </c>
      <c r="H14" s="18" t="s">
        <v>17</v>
      </c>
      <c r="I14" s="9"/>
    </row>
    <row r="15" spans="1:14" ht="30" customHeight="1">
      <c r="A15" s="10" t="s">
        <v>9</v>
      </c>
      <c r="B15" s="51">
        <f>(H4/J4)</f>
        <v>0.3</v>
      </c>
      <c r="C15" s="51">
        <v>1.54</v>
      </c>
      <c r="D15" s="51">
        <f>E9</f>
        <v>300</v>
      </c>
      <c r="E15" s="51"/>
      <c r="F15" s="51">
        <f>(B15*C15*D15)</f>
        <v>138.6</v>
      </c>
      <c r="G15" s="51">
        <f>(F15/100)</f>
        <v>1.3859999999999999</v>
      </c>
      <c r="H15" s="13">
        <f>ROUNDUP(G15,0)</f>
        <v>2</v>
      </c>
      <c r="I15" s="11"/>
    </row>
    <row r="16" spans="1:14" ht="30" customHeight="1">
      <c r="A16" s="5"/>
      <c r="B16" s="7"/>
      <c r="C16" s="7"/>
      <c r="D16" s="7"/>
      <c r="E16" s="7"/>
      <c r="F16" s="7"/>
      <c r="G16" s="7"/>
      <c r="H16" s="7"/>
      <c r="I16" s="8"/>
    </row>
    <row r="17" spans="1:9" ht="51" customHeight="1">
      <c r="A17" s="10"/>
      <c r="B17" s="22" t="s">
        <v>85</v>
      </c>
      <c r="C17" s="78" t="s">
        <v>97</v>
      </c>
      <c r="D17" s="16" t="s">
        <v>5</v>
      </c>
      <c r="E17" s="16" t="s">
        <v>6</v>
      </c>
      <c r="F17" s="18" t="s">
        <v>18</v>
      </c>
      <c r="G17" s="18" t="s">
        <v>19</v>
      </c>
      <c r="H17" s="18" t="s">
        <v>20</v>
      </c>
      <c r="I17" s="9"/>
    </row>
    <row r="18" spans="1:9" s="2" customFormat="1" ht="30" customHeight="1">
      <c r="A18" s="10" t="s">
        <v>10</v>
      </c>
      <c r="B18" s="51">
        <f>(I4/J4)</f>
        <v>0.6</v>
      </c>
      <c r="C18" s="51">
        <v>1.54</v>
      </c>
      <c r="D18" s="51">
        <f>E9</f>
        <v>300</v>
      </c>
      <c r="E18" s="51"/>
      <c r="F18" s="51">
        <f>(B18*C18*D18)</f>
        <v>277.2</v>
      </c>
      <c r="G18" s="51">
        <f>(F18/100)</f>
        <v>2.7719999999999998</v>
      </c>
      <c r="H18" s="13">
        <f>ROUND(G18,0)</f>
        <v>3</v>
      </c>
      <c r="I18" s="4"/>
    </row>
    <row r="34" spans="9:10">
      <c r="J34" t="s">
        <v>8</v>
      </c>
    </row>
    <row r="35" spans="9:10">
      <c r="I35" t="s">
        <v>7</v>
      </c>
    </row>
  </sheetData>
  <mergeCells count="2">
    <mergeCell ref="A1:I2"/>
    <mergeCell ref="G3:I3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opLeftCell="A9" workbookViewId="0">
      <selection activeCell="C17" sqref="C17"/>
    </sheetView>
  </sheetViews>
  <sheetFormatPr defaultRowHeight="15"/>
  <cols>
    <col min="1" max="1" width="9.140625" style="2"/>
    <col min="3" max="3" width="12.7109375" customWidth="1"/>
    <col min="4" max="4" width="13" customWidth="1"/>
    <col min="5" max="5" width="12.28515625" customWidth="1"/>
    <col min="6" max="6" width="12.5703125" customWidth="1"/>
    <col min="7" max="7" width="14.140625" customWidth="1"/>
    <col min="8" max="8" width="18.7109375" customWidth="1"/>
    <col min="9" max="9" width="14.7109375" customWidth="1"/>
    <col min="10" max="10" width="15.42578125" customWidth="1"/>
  </cols>
  <sheetData>
    <row r="1" spans="1:14" ht="15" customHeight="1">
      <c r="A1" s="57" t="s">
        <v>78</v>
      </c>
      <c r="B1" s="57"/>
      <c r="C1" s="57"/>
      <c r="D1" s="57"/>
      <c r="E1" s="57"/>
      <c r="F1" s="57"/>
      <c r="G1" s="57"/>
      <c r="H1" s="57"/>
      <c r="I1" s="57"/>
      <c r="J1" s="20"/>
      <c r="K1" s="20"/>
      <c r="L1" s="20"/>
      <c r="M1" s="20"/>
      <c r="N1" s="20"/>
    </row>
    <row r="2" spans="1:14" ht="15" customHeight="1">
      <c r="A2" s="58"/>
      <c r="B2" s="58"/>
      <c r="C2" s="58"/>
      <c r="D2" s="58"/>
      <c r="E2" s="58"/>
      <c r="F2" s="58"/>
      <c r="G2" s="58"/>
      <c r="H2" s="58"/>
      <c r="I2" s="58"/>
      <c r="J2" s="20"/>
      <c r="K2" s="20"/>
      <c r="L2" s="20"/>
      <c r="M2" s="20"/>
      <c r="N2" s="20"/>
    </row>
    <row r="3" spans="1:14" s="1" customFormat="1" ht="30" customHeight="1">
      <c r="A3" s="10"/>
      <c r="B3" s="14" t="s">
        <v>1</v>
      </c>
      <c r="C3" s="14" t="s">
        <v>2</v>
      </c>
      <c r="D3" s="14" t="s">
        <v>3</v>
      </c>
      <c r="E3" s="15" t="s">
        <v>4</v>
      </c>
      <c r="F3" s="15" t="s">
        <v>24</v>
      </c>
      <c r="G3" s="59" t="s">
        <v>96</v>
      </c>
      <c r="H3" s="60"/>
      <c r="I3" s="61"/>
      <c r="J3" s="56" t="s">
        <v>95</v>
      </c>
    </row>
    <row r="4" spans="1:14" ht="26.25" customHeight="1">
      <c r="A4" s="4">
        <v>1</v>
      </c>
      <c r="B4" s="51">
        <v>40</v>
      </c>
      <c r="C4" s="51">
        <v>0.75</v>
      </c>
      <c r="D4" s="51">
        <v>10</v>
      </c>
      <c r="E4" s="51">
        <f>(B4*C4*D4)</f>
        <v>300</v>
      </c>
      <c r="F4" s="51">
        <f>(E4/35.28)</f>
        <v>8.5034013605442169</v>
      </c>
      <c r="G4" s="52">
        <v>1</v>
      </c>
      <c r="H4" s="52">
        <v>2</v>
      </c>
      <c r="I4" s="52">
        <v>4</v>
      </c>
      <c r="J4" s="52">
        <f>(G4+H4+I4)</f>
        <v>7</v>
      </c>
    </row>
    <row r="5" spans="1:14" ht="26.25" customHeight="1">
      <c r="A5" s="4">
        <v>2</v>
      </c>
      <c r="B5" s="4"/>
      <c r="C5" s="4"/>
      <c r="D5" s="4"/>
      <c r="E5" s="4"/>
      <c r="F5" s="4"/>
      <c r="G5" s="3"/>
      <c r="H5" s="9"/>
      <c r="I5" s="9"/>
    </row>
    <row r="6" spans="1:14" ht="26.25" customHeight="1">
      <c r="A6" s="4">
        <v>3</v>
      </c>
      <c r="B6" s="4"/>
      <c r="C6" s="4"/>
      <c r="D6" s="4"/>
      <c r="E6" s="4"/>
      <c r="F6" s="4"/>
      <c r="G6" s="3"/>
      <c r="H6" s="9"/>
      <c r="I6" s="9"/>
    </row>
    <row r="7" spans="1:14" ht="26.25" customHeight="1">
      <c r="A7" s="4">
        <v>4</v>
      </c>
      <c r="B7" s="4"/>
      <c r="C7" s="4"/>
      <c r="D7" s="4"/>
      <c r="E7" s="4"/>
      <c r="F7" s="4"/>
      <c r="G7" s="3"/>
      <c r="H7" s="9"/>
      <c r="I7" s="9"/>
    </row>
    <row r="8" spans="1:14" ht="26.25" customHeight="1">
      <c r="A8" s="4">
        <v>5</v>
      </c>
      <c r="B8" s="4"/>
      <c r="C8" s="4"/>
      <c r="D8" s="4"/>
      <c r="E8" s="4"/>
      <c r="F8" s="4"/>
      <c r="G8" s="3"/>
      <c r="H8" s="9"/>
      <c r="I8" s="9"/>
    </row>
    <row r="9" spans="1:14" s="2" customFormat="1" ht="30" customHeight="1">
      <c r="A9" s="4"/>
      <c r="B9" s="51">
        <f>SUM(B4:B8)</f>
        <v>40</v>
      </c>
      <c r="C9" s="51">
        <f>SUM(C4:C8)</f>
        <v>0.75</v>
      </c>
      <c r="D9" s="51">
        <f>SUM(D4:D8)</f>
        <v>10</v>
      </c>
      <c r="E9" s="51">
        <f>SUM(E4:E8)</f>
        <v>300</v>
      </c>
      <c r="F9" s="51">
        <f>SUM(F4:F8)</f>
        <v>8.5034013605442169</v>
      </c>
      <c r="G9" s="3"/>
      <c r="H9" s="4"/>
      <c r="I9" s="4"/>
    </row>
    <row r="10" spans="1:14" ht="30" customHeight="1">
      <c r="A10" s="6"/>
      <c r="B10" s="7"/>
      <c r="C10" s="7"/>
      <c r="D10" s="7"/>
      <c r="E10" s="7"/>
      <c r="F10" s="7"/>
      <c r="G10" s="7"/>
      <c r="H10" s="7"/>
      <c r="I10" s="7"/>
    </row>
    <row r="11" spans="1:14" ht="30" customHeight="1">
      <c r="A11" s="4"/>
      <c r="B11" s="22" t="s">
        <v>80</v>
      </c>
      <c r="C11" s="78" t="s">
        <v>97</v>
      </c>
      <c r="D11" s="16" t="s">
        <v>5</v>
      </c>
      <c r="E11" s="16" t="s">
        <v>25</v>
      </c>
      <c r="F11" s="15" t="s">
        <v>12</v>
      </c>
      <c r="G11" s="15" t="s">
        <v>13</v>
      </c>
      <c r="H11" s="15" t="s">
        <v>14</v>
      </c>
      <c r="I11" s="16" t="s">
        <v>15</v>
      </c>
    </row>
    <row r="12" spans="1:14" ht="30" customHeight="1">
      <c r="A12" s="10" t="s">
        <v>11</v>
      </c>
      <c r="B12" s="51">
        <f>(G4/J4)</f>
        <v>0.14285714285714285</v>
      </c>
      <c r="C12" s="51">
        <v>1.54</v>
      </c>
      <c r="D12" s="21">
        <f>E9</f>
        <v>300</v>
      </c>
      <c r="E12" s="51">
        <f>(D12/35.28)</f>
        <v>8.5034013605442169</v>
      </c>
      <c r="F12" s="51">
        <v>1440</v>
      </c>
      <c r="G12" s="51">
        <f>(B12*C12*E12*F12)</f>
        <v>2693.8775510204077</v>
      </c>
      <c r="H12" s="51">
        <f>(G12/50)</f>
        <v>53.877551020408156</v>
      </c>
      <c r="I12" s="13">
        <f>ROUND(H12,0)</f>
        <v>54</v>
      </c>
    </row>
    <row r="13" spans="1:14" ht="30" customHeight="1">
      <c r="A13" s="5"/>
      <c r="B13" s="6"/>
      <c r="C13" s="7"/>
      <c r="D13" s="7"/>
      <c r="E13" s="7"/>
      <c r="F13" s="7"/>
      <c r="G13" s="7"/>
      <c r="H13" s="7"/>
      <c r="I13" s="7"/>
    </row>
    <row r="14" spans="1:14" ht="42.75" customHeight="1">
      <c r="A14" s="10"/>
      <c r="B14" s="22" t="s">
        <v>79</v>
      </c>
      <c r="C14" s="78" t="s">
        <v>97</v>
      </c>
      <c r="D14" s="19" t="s">
        <v>5</v>
      </c>
      <c r="E14" s="19" t="s">
        <v>6</v>
      </c>
      <c r="F14" s="17" t="s">
        <v>16</v>
      </c>
      <c r="G14" s="17" t="s">
        <v>17</v>
      </c>
      <c r="H14" s="18" t="s">
        <v>17</v>
      </c>
      <c r="I14" s="9"/>
    </row>
    <row r="15" spans="1:14" ht="30" customHeight="1">
      <c r="A15" s="10" t="s">
        <v>9</v>
      </c>
      <c r="B15" s="51">
        <f>(H4/J4)</f>
        <v>0.2857142857142857</v>
      </c>
      <c r="C15" s="51">
        <v>1.54</v>
      </c>
      <c r="D15" s="51">
        <f>E9</f>
        <v>300</v>
      </c>
      <c r="E15" s="51"/>
      <c r="F15" s="51">
        <f>(B15*C15*D15)</f>
        <v>132</v>
      </c>
      <c r="G15" s="51">
        <f>(F15/100)</f>
        <v>1.32</v>
      </c>
      <c r="H15" s="13">
        <f>ROUNDUP(G15,0)</f>
        <v>2</v>
      </c>
      <c r="I15" s="11"/>
    </row>
    <row r="16" spans="1:14" ht="30" customHeight="1">
      <c r="A16" s="5"/>
      <c r="B16" s="7"/>
      <c r="C16" s="7"/>
      <c r="D16" s="7"/>
      <c r="E16" s="7"/>
      <c r="F16" s="7"/>
      <c r="G16" s="7"/>
      <c r="H16" s="7"/>
      <c r="I16" s="8"/>
    </row>
    <row r="17" spans="1:9" ht="51" customHeight="1">
      <c r="A17" s="10"/>
      <c r="B17" s="22" t="s">
        <v>81</v>
      </c>
      <c r="C17" s="78" t="s">
        <v>97</v>
      </c>
      <c r="D17" s="16" t="s">
        <v>5</v>
      </c>
      <c r="E17" s="16" t="s">
        <v>6</v>
      </c>
      <c r="F17" s="18" t="s">
        <v>18</v>
      </c>
      <c r="G17" s="18" t="s">
        <v>19</v>
      </c>
      <c r="H17" s="18" t="s">
        <v>20</v>
      </c>
      <c r="I17" s="9"/>
    </row>
    <row r="18" spans="1:9" s="2" customFormat="1" ht="30" customHeight="1">
      <c r="A18" s="10" t="s">
        <v>10</v>
      </c>
      <c r="B18" s="51">
        <f>(I4/J4)</f>
        <v>0.5714285714285714</v>
      </c>
      <c r="C18" s="51">
        <v>1.54</v>
      </c>
      <c r="D18" s="51">
        <f>E9</f>
        <v>300</v>
      </c>
      <c r="E18" s="51"/>
      <c r="F18" s="51">
        <f>(B18*C18*D18)</f>
        <v>264</v>
      </c>
      <c r="G18" s="51">
        <f>(F18/100)</f>
        <v>2.64</v>
      </c>
      <c r="H18" s="13">
        <f>ROUND(G18,0)</f>
        <v>3</v>
      </c>
      <c r="I18" s="4"/>
    </row>
    <row r="34" spans="9:10">
      <c r="J34" t="s">
        <v>8</v>
      </c>
    </row>
    <row r="35" spans="9:10">
      <c r="I35" t="s">
        <v>7</v>
      </c>
    </row>
  </sheetData>
  <mergeCells count="2">
    <mergeCell ref="A1:I2"/>
    <mergeCell ref="G3:I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opLeftCell="A10" workbookViewId="0">
      <selection activeCell="C17" sqref="C17"/>
    </sheetView>
  </sheetViews>
  <sheetFormatPr defaultRowHeight="15"/>
  <cols>
    <col min="1" max="1" width="9.140625" style="2"/>
    <col min="3" max="3" width="12.7109375" customWidth="1"/>
    <col min="4" max="4" width="13" customWidth="1"/>
    <col min="5" max="5" width="12.28515625" customWidth="1"/>
    <col min="6" max="6" width="12.5703125" customWidth="1"/>
    <col min="7" max="7" width="14.140625" customWidth="1"/>
    <col min="8" max="8" width="18.7109375" customWidth="1"/>
    <col min="9" max="9" width="14.7109375" customWidth="1"/>
    <col min="10" max="10" width="15.42578125" customWidth="1"/>
  </cols>
  <sheetData>
    <row r="1" spans="1:14" ht="15" customHeight="1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20"/>
      <c r="K1" s="20"/>
      <c r="L1" s="20"/>
      <c r="M1" s="20"/>
      <c r="N1" s="20"/>
    </row>
    <row r="2" spans="1:14" ht="15" customHeight="1">
      <c r="A2" s="58"/>
      <c r="B2" s="58"/>
      <c r="C2" s="58"/>
      <c r="D2" s="58"/>
      <c r="E2" s="58"/>
      <c r="F2" s="58"/>
      <c r="G2" s="58"/>
      <c r="H2" s="58"/>
      <c r="I2" s="58"/>
      <c r="J2" s="20"/>
      <c r="K2" s="20"/>
      <c r="L2" s="20"/>
      <c r="M2" s="20"/>
      <c r="N2" s="20"/>
    </row>
    <row r="3" spans="1:14" s="1" customFormat="1" ht="30" customHeight="1">
      <c r="A3" s="10"/>
      <c r="B3" s="14" t="s">
        <v>1</v>
      </c>
      <c r="C3" s="14" t="s">
        <v>2</v>
      </c>
      <c r="D3" s="14" t="s">
        <v>3</v>
      </c>
      <c r="E3" s="15" t="s">
        <v>4</v>
      </c>
      <c r="F3" s="15" t="s">
        <v>24</v>
      </c>
      <c r="G3" s="59" t="s">
        <v>96</v>
      </c>
      <c r="H3" s="60"/>
      <c r="I3" s="61"/>
      <c r="J3" s="56" t="s">
        <v>95</v>
      </c>
    </row>
    <row r="4" spans="1:14" ht="26.25" customHeight="1">
      <c r="A4" s="4">
        <v>1</v>
      </c>
      <c r="B4" s="12">
        <v>40</v>
      </c>
      <c r="C4" s="12">
        <v>0.75</v>
      </c>
      <c r="D4" s="12">
        <v>10</v>
      </c>
      <c r="E4" s="12">
        <f>(B4*C4*D4)</f>
        <v>300</v>
      </c>
      <c r="F4" s="12">
        <f>(E4/35.28)</f>
        <v>8.5034013605442169</v>
      </c>
      <c r="G4" s="52">
        <v>1</v>
      </c>
      <c r="H4" s="52">
        <v>1.5</v>
      </c>
      <c r="I4" s="52">
        <v>3</v>
      </c>
      <c r="J4" s="52">
        <f>(G4+H4+I4)</f>
        <v>5.5</v>
      </c>
    </row>
    <row r="5" spans="1:14" ht="26.25" customHeight="1">
      <c r="A5" s="4">
        <v>2</v>
      </c>
      <c r="B5" s="4"/>
      <c r="C5" s="4"/>
      <c r="D5" s="4"/>
      <c r="E5" s="4"/>
      <c r="F5" s="4"/>
      <c r="G5" s="3"/>
      <c r="H5" s="9"/>
      <c r="I5" s="9"/>
    </row>
    <row r="6" spans="1:14" ht="26.25" customHeight="1">
      <c r="A6" s="4">
        <v>3</v>
      </c>
      <c r="B6" s="4"/>
      <c r="C6" s="4"/>
      <c r="D6" s="4"/>
      <c r="E6" s="4"/>
      <c r="F6" s="4"/>
      <c r="G6" s="3"/>
      <c r="H6" s="9"/>
      <c r="I6" s="9"/>
    </row>
    <row r="7" spans="1:14" ht="26.25" customHeight="1">
      <c r="A7" s="4">
        <v>4</v>
      </c>
      <c r="B7" s="4"/>
      <c r="C7" s="4"/>
      <c r="D7" s="4"/>
      <c r="E7" s="4"/>
      <c r="F7" s="4"/>
      <c r="G7" s="3"/>
      <c r="H7" s="9"/>
      <c r="I7" s="9"/>
    </row>
    <row r="8" spans="1:14" ht="26.25" customHeight="1">
      <c r="A8" s="4">
        <v>5</v>
      </c>
      <c r="B8" s="4"/>
      <c r="C8" s="4"/>
      <c r="D8" s="4"/>
      <c r="E8" s="4"/>
      <c r="F8" s="4"/>
      <c r="G8" s="3"/>
      <c r="H8" s="9"/>
      <c r="I8" s="9"/>
    </row>
    <row r="9" spans="1:14" s="2" customFormat="1" ht="30" customHeight="1">
      <c r="A9" s="4"/>
      <c r="B9" s="12">
        <f>SUM(B4:B8)</f>
        <v>40</v>
      </c>
      <c r="C9" s="12">
        <f>SUM(C4:C8)</f>
        <v>0.75</v>
      </c>
      <c r="D9" s="12">
        <f>SUM(D4:D8)</f>
        <v>10</v>
      </c>
      <c r="E9" s="12">
        <f>SUM(E4:E8)</f>
        <v>300</v>
      </c>
      <c r="F9" s="12">
        <f>SUM(F4:F8)</f>
        <v>8.5034013605442169</v>
      </c>
      <c r="G9" s="3"/>
      <c r="H9" s="4"/>
      <c r="I9" s="4"/>
    </row>
    <row r="10" spans="1:14" ht="30" customHeight="1">
      <c r="A10" s="6"/>
      <c r="B10" s="7"/>
      <c r="C10" s="7"/>
      <c r="D10" s="7"/>
      <c r="E10" s="7"/>
      <c r="F10" s="7"/>
      <c r="G10" s="7"/>
      <c r="H10" s="7"/>
      <c r="I10" s="7"/>
    </row>
    <row r="11" spans="1:14" ht="30" customHeight="1">
      <c r="A11" s="4"/>
      <c r="B11" s="14" t="s">
        <v>21</v>
      </c>
      <c r="C11" s="78" t="s">
        <v>97</v>
      </c>
      <c r="D11" s="16" t="s">
        <v>5</v>
      </c>
      <c r="E11" s="16" t="s">
        <v>25</v>
      </c>
      <c r="F11" s="15" t="s">
        <v>12</v>
      </c>
      <c r="G11" s="15" t="s">
        <v>13</v>
      </c>
      <c r="H11" s="15" t="s">
        <v>14</v>
      </c>
      <c r="I11" s="16" t="s">
        <v>15</v>
      </c>
    </row>
    <row r="12" spans="1:14" ht="30" customHeight="1">
      <c r="A12" s="10" t="s">
        <v>11</v>
      </c>
      <c r="B12" s="12">
        <f>(G4/J4)</f>
        <v>0.18181818181818182</v>
      </c>
      <c r="C12" s="12">
        <v>1.54</v>
      </c>
      <c r="D12" s="21">
        <f>E9</f>
        <v>300</v>
      </c>
      <c r="E12" s="12">
        <f>(D12/35.28)</f>
        <v>8.5034013605442169</v>
      </c>
      <c r="F12" s="12">
        <v>1440</v>
      </c>
      <c r="G12" s="12">
        <f>(B12*C12*E12*F12)</f>
        <v>3428.5714285714284</v>
      </c>
      <c r="H12" s="12">
        <f>(G12/50)</f>
        <v>68.571428571428569</v>
      </c>
      <c r="I12" s="13">
        <f>ROUND(H12,0)</f>
        <v>69</v>
      </c>
    </row>
    <row r="13" spans="1:14" ht="30" customHeight="1">
      <c r="A13" s="5"/>
      <c r="B13" s="6"/>
      <c r="C13" s="7"/>
      <c r="D13" s="7"/>
      <c r="E13" s="7"/>
      <c r="F13" s="7"/>
      <c r="G13" s="7"/>
      <c r="H13" s="7"/>
      <c r="I13" s="7"/>
    </row>
    <row r="14" spans="1:14" ht="42.75" customHeight="1">
      <c r="A14" s="10"/>
      <c r="B14" s="14" t="s">
        <v>22</v>
      </c>
      <c r="C14" s="78" t="s">
        <v>97</v>
      </c>
      <c r="D14" s="19" t="s">
        <v>5</v>
      </c>
      <c r="E14" s="19" t="s">
        <v>6</v>
      </c>
      <c r="F14" s="17" t="s">
        <v>16</v>
      </c>
      <c r="G14" s="17" t="s">
        <v>17</v>
      </c>
      <c r="H14" s="18" t="s">
        <v>17</v>
      </c>
      <c r="I14" s="9"/>
    </row>
    <row r="15" spans="1:14" ht="30" customHeight="1">
      <c r="A15" s="10" t="s">
        <v>9</v>
      </c>
      <c r="B15" s="12">
        <f>(H4/J4)</f>
        <v>0.27272727272727271</v>
      </c>
      <c r="C15" s="12">
        <v>1.54</v>
      </c>
      <c r="D15" s="12">
        <f>E9</f>
        <v>300</v>
      </c>
      <c r="E15" s="12"/>
      <c r="F15" s="12">
        <f>(B15*C15*D15)</f>
        <v>126</v>
      </c>
      <c r="G15" s="12">
        <f>(F15/100)</f>
        <v>1.26</v>
      </c>
      <c r="H15" s="13">
        <f>ROUNDUP(G15,0)</f>
        <v>2</v>
      </c>
      <c r="I15" s="11"/>
    </row>
    <row r="16" spans="1:14" ht="30" customHeight="1">
      <c r="A16" s="5"/>
      <c r="B16" s="7"/>
      <c r="C16" s="7"/>
      <c r="D16" s="7"/>
      <c r="E16" s="7"/>
      <c r="F16" s="7"/>
      <c r="G16" s="7"/>
      <c r="H16" s="7"/>
      <c r="I16" s="8"/>
    </row>
    <row r="17" spans="1:9" ht="51" customHeight="1">
      <c r="A17" s="10"/>
      <c r="B17" s="14" t="s">
        <v>23</v>
      </c>
      <c r="C17" s="78" t="s">
        <v>97</v>
      </c>
      <c r="D17" s="16" t="s">
        <v>5</v>
      </c>
      <c r="E17" s="16" t="s">
        <v>6</v>
      </c>
      <c r="F17" s="18" t="s">
        <v>18</v>
      </c>
      <c r="G17" s="18" t="s">
        <v>19</v>
      </c>
      <c r="H17" s="18" t="s">
        <v>20</v>
      </c>
      <c r="I17" s="9"/>
    </row>
    <row r="18" spans="1:9" s="2" customFormat="1" ht="30" customHeight="1">
      <c r="A18" s="10" t="s">
        <v>10</v>
      </c>
      <c r="B18" s="12">
        <f>(I4/J4)</f>
        <v>0.54545454545454541</v>
      </c>
      <c r="C18" s="12">
        <v>1.54</v>
      </c>
      <c r="D18" s="12">
        <f>E9</f>
        <v>300</v>
      </c>
      <c r="E18" s="12"/>
      <c r="F18" s="12">
        <f>(B18*C18*D18)</f>
        <v>252</v>
      </c>
      <c r="G18" s="12">
        <f>(F18/100)</f>
        <v>2.52</v>
      </c>
      <c r="H18" s="13">
        <f>ROUND(G18,0)</f>
        <v>3</v>
      </c>
      <c r="I18" s="4"/>
    </row>
    <row r="34" spans="9:10">
      <c r="J34" t="s">
        <v>8</v>
      </c>
    </row>
    <row r="35" spans="9:10">
      <c r="I35" t="s">
        <v>7</v>
      </c>
    </row>
  </sheetData>
  <mergeCells count="2">
    <mergeCell ref="A1:I2"/>
    <mergeCell ref="G3:I3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topLeftCell="A9" workbookViewId="0">
      <selection activeCell="C11" sqref="C11"/>
    </sheetView>
  </sheetViews>
  <sheetFormatPr defaultRowHeight="15"/>
  <cols>
    <col min="1" max="1" width="9.140625" style="2"/>
    <col min="3" max="3" width="12.7109375" customWidth="1"/>
    <col min="4" max="4" width="13" customWidth="1"/>
    <col min="5" max="5" width="12.28515625" customWidth="1"/>
    <col min="6" max="6" width="12.5703125" customWidth="1"/>
    <col min="7" max="7" width="14.140625" customWidth="1"/>
    <col min="8" max="8" width="18.7109375" customWidth="1"/>
    <col min="9" max="9" width="14.7109375" customWidth="1"/>
    <col min="10" max="10" width="15.42578125" customWidth="1"/>
  </cols>
  <sheetData>
    <row r="1" spans="1:14" ht="15" customHeight="1">
      <c r="A1" s="57" t="s">
        <v>91</v>
      </c>
      <c r="B1" s="57"/>
      <c r="C1" s="57"/>
      <c r="D1" s="57"/>
      <c r="E1" s="57"/>
      <c r="F1" s="57"/>
      <c r="G1" s="57"/>
      <c r="H1" s="57"/>
      <c r="I1" s="57"/>
      <c r="J1" s="20"/>
      <c r="K1" s="20"/>
      <c r="L1" s="20"/>
      <c r="M1" s="20"/>
      <c r="N1" s="20"/>
    </row>
    <row r="2" spans="1:14" ht="15" customHeight="1">
      <c r="A2" s="58"/>
      <c r="B2" s="58"/>
      <c r="C2" s="58"/>
      <c r="D2" s="58"/>
      <c r="E2" s="58"/>
      <c r="F2" s="58"/>
      <c r="G2" s="58"/>
      <c r="H2" s="58"/>
      <c r="I2" s="58"/>
      <c r="J2" s="20"/>
      <c r="K2" s="20"/>
      <c r="L2" s="20"/>
      <c r="M2" s="20"/>
      <c r="N2" s="20"/>
    </row>
    <row r="3" spans="1:14" s="1" customFormat="1" ht="30" customHeight="1">
      <c r="A3" s="10"/>
      <c r="B3" s="14" t="s">
        <v>1</v>
      </c>
      <c r="C3" s="14" t="s">
        <v>2</v>
      </c>
      <c r="D3" s="14" t="s">
        <v>3</v>
      </c>
      <c r="E3" s="15" t="s">
        <v>4</v>
      </c>
      <c r="F3" s="15" t="s">
        <v>24</v>
      </c>
      <c r="G3" s="59" t="s">
        <v>96</v>
      </c>
      <c r="H3" s="60"/>
      <c r="I3" s="61"/>
      <c r="J3" s="56" t="s">
        <v>95</v>
      </c>
    </row>
    <row r="4" spans="1:14" ht="26.25" customHeight="1">
      <c r="A4" s="4">
        <v>1</v>
      </c>
      <c r="B4" s="51">
        <v>40</v>
      </c>
      <c r="C4" s="51">
        <v>0.75</v>
      </c>
      <c r="D4" s="51">
        <v>10</v>
      </c>
      <c r="E4" s="51">
        <f>(B4*C4*D4)</f>
        <v>300</v>
      </c>
      <c r="F4" s="51">
        <f>(E4/35.28)</f>
        <v>8.5034013605442169</v>
      </c>
      <c r="G4" s="52">
        <v>1</v>
      </c>
      <c r="H4" s="52">
        <v>1</v>
      </c>
      <c r="I4" s="52">
        <v>2</v>
      </c>
      <c r="J4" s="52">
        <f>(G4+H4+I4)</f>
        <v>4</v>
      </c>
    </row>
    <row r="5" spans="1:14" ht="26.25" customHeight="1">
      <c r="A5" s="4">
        <v>2</v>
      </c>
      <c r="B5" s="4"/>
      <c r="C5" s="4"/>
      <c r="D5" s="4"/>
      <c r="E5" s="4"/>
      <c r="F5" s="4"/>
      <c r="G5" s="3"/>
      <c r="H5" s="9"/>
      <c r="I5" s="9"/>
    </row>
    <row r="6" spans="1:14" ht="26.25" customHeight="1">
      <c r="A6" s="4">
        <v>3</v>
      </c>
      <c r="B6" s="4"/>
      <c r="C6" s="4"/>
      <c r="D6" s="4"/>
      <c r="E6" s="4"/>
      <c r="F6" s="4"/>
      <c r="G6" s="3"/>
      <c r="H6" s="9"/>
      <c r="I6" s="9"/>
    </row>
    <row r="7" spans="1:14" ht="26.25" customHeight="1">
      <c r="A7" s="4">
        <v>4</v>
      </c>
      <c r="B7" s="4"/>
      <c r="C7" s="4"/>
      <c r="D7" s="4"/>
      <c r="E7" s="4"/>
      <c r="F7" s="4"/>
      <c r="G7" s="3"/>
      <c r="H7" s="9"/>
      <c r="I7" s="9"/>
    </row>
    <row r="8" spans="1:14" ht="26.25" customHeight="1">
      <c r="A8" s="4">
        <v>5</v>
      </c>
      <c r="B8" s="4"/>
      <c r="C8" s="4"/>
      <c r="D8" s="4"/>
      <c r="E8" s="4"/>
      <c r="F8" s="4"/>
      <c r="G8" s="3"/>
      <c r="H8" s="9"/>
      <c r="I8" s="9"/>
    </row>
    <row r="9" spans="1:14" s="2" customFormat="1" ht="30" customHeight="1">
      <c r="A9" s="4"/>
      <c r="B9" s="51">
        <f>SUM(B4:B8)</f>
        <v>40</v>
      </c>
      <c r="C9" s="51">
        <f>SUM(C4:C8)</f>
        <v>0.75</v>
      </c>
      <c r="D9" s="51">
        <f>SUM(D4:D8)</f>
        <v>10</v>
      </c>
      <c r="E9" s="51">
        <f>SUM(E4:E8)</f>
        <v>300</v>
      </c>
      <c r="F9" s="51">
        <f>SUM(F4:F8)</f>
        <v>8.5034013605442169</v>
      </c>
      <c r="G9" s="3"/>
      <c r="H9" s="4"/>
      <c r="I9" s="4"/>
    </row>
    <row r="10" spans="1:14" ht="30" customHeight="1">
      <c r="A10" s="6"/>
      <c r="B10" s="7"/>
      <c r="C10" s="7"/>
      <c r="D10" s="7"/>
      <c r="E10" s="7"/>
      <c r="F10" s="7"/>
      <c r="G10" s="7"/>
      <c r="H10" s="7"/>
      <c r="I10" s="7"/>
    </row>
    <row r="11" spans="1:14" ht="30" customHeight="1">
      <c r="A11" s="4"/>
      <c r="B11" s="22" t="s">
        <v>92</v>
      </c>
      <c r="C11" s="78" t="s">
        <v>97</v>
      </c>
      <c r="D11" s="16" t="s">
        <v>5</v>
      </c>
      <c r="E11" s="16" t="s">
        <v>25</v>
      </c>
      <c r="F11" s="15" t="s">
        <v>12</v>
      </c>
      <c r="G11" s="15" t="s">
        <v>13</v>
      </c>
      <c r="H11" s="15" t="s">
        <v>14</v>
      </c>
      <c r="I11" s="16" t="s">
        <v>15</v>
      </c>
    </row>
    <row r="12" spans="1:14" ht="30" customHeight="1">
      <c r="A12" s="10" t="s">
        <v>11</v>
      </c>
      <c r="B12" s="51">
        <f>(G4/J4)</f>
        <v>0.25</v>
      </c>
      <c r="C12" s="51">
        <v>1.54</v>
      </c>
      <c r="D12" s="21">
        <f>E9</f>
        <v>300</v>
      </c>
      <c r="E12" s="51">
        <f>(D12/35.28)</f>
        <v>8.5034013605442169</v>
      </c>
      <c r="F12" s="51">
        <v>1440</v>
      </c>
      <c r="G12" s="51">
        <f>(B12*C12*E12*F12)</f>
        <v>4714.2857142857138</v>
      </c>
      <c r="H12" s="51">
        <f>(G12/50)</f>
        <v>94.285714285714278</v>
      </c>
      <c r="I12" s="13">
        <f>ROUND(H12,0)</f>
        <v>94</v>
      </c>
    </row>
    <row r="13" spans="1:14" ht="30" customHeight="1">
      <c r="A13" s="5"/>
      <c r="B13" s="6"/>
      <c r="C13" s="7"/>
      <c r="D13" s="7"/>
      <c r="E13" s="7"/>
      <c r="F13" s="7"/>
      <c r="G13" s="7"/>
      <c r="H13" s="7"/>
      <c r="I13" s="7"/>
    </row>
    <row r="14" spans="1:14" ht="42.75" customHeight="1">
      <c r="A14" s="10"/>
      <c r="B14" s="22" t="s">
        <v>92</v>
      </c>
      <c r="C14" s="78" t="s">
        <v>97</v>
      </c>
      <c r="D14" s="19" t="s">
        <v>5</v>
      </c>
      <c r="E14" s="19" t="s">
        <v>6</v>
      </c>
      <c r="F14" s="17" t="s">
        <v>16</v>
      </c>
      <c r="G14" s="17" t="s">
        <v>17</v>
      </c>
      <c r="H14" s="18" t="s">
        <v>17</v>
      </c>
      <c r="I14" s="9"/>
    </row>
    <row r="15" spans="1:14" ht="30" customHeight="1">
      <c r="A15" s="10" t="s">
        <v>9</v>
      </c>
      <c r="B15" s="51">
        <f>(H4/J4)</f>
        <v>0.25</v>
      </c>
      <c r="C15" s="51">
        <v>1.54</v>
      </c>
      <c r="D15" s="51">
        <f>E9</f>
        <v>300</v>
      </c>
      <c r="E15" s="51"/>
      <c r="F15" s="51">
        <f>(B15*C15*D15)</f>
        <v>115.5</v>
      </c>
      <c r="G15" s="51">
        <f>(F15/100)</f>
        <v>1.155</v>
      </c>
      <c r="H15" s="13">
        <f>ROUNDUP(G15,0)</f>
        <v>2</v>
      </c>
      <c r="I15" s="11"/>
    </row>
    <row r="16" spans="1:14" ht="30" customHeight="1">
      <c r="A16" s="5"/>
      <c r="B16" s="7"/>
      <c r="C16" s="7"/>
      <c r="D16" s="7"/>
      <c r="E16" s="7"/>
      <c r="F16" s="7"/>
      <c r="G16" s="7"/>
      <c r="H16" s="7"/>
      <c r="I16" s="8"/>
    </row>
    <row r="17" spans="1:9" ht="51" customHeight="1">
      <c r="A17" s="10"/>
      <c r="B17" s="22" t="s">
        <v>93</v>
      </c>
      <c r="C17" s="78" t="s">
        <v>97</v>
      </c>
      <c r="D17" s="16" t="s">
        <v>5</v>
      </c>
      <c r="E17" s="16" t="s">
        <v>6</v>
      </c>
      <c r="F17" s="18" t="s">
        <v>18</v>
      </c>
      <c r="G17" s="18" t="s">
        <v>19</v>
      </c>
      <c r="H17" s="18" t="s">
        <v>20</v>
      </c>
      <c r="I17" s="9"/>
    </row>
    <row r="18" spans="1:9" s="2" customFormat="1" ht="30" customHeight="1">
      <c r="A18" s="10" t="s">
        <v>10</v>
      </c>
      <c r="B18" s="51">
        <f>(I4/J4)</f>
        <v>0.5</v>
      </c>
      <c r="C18" s="51">
        <v>1.54</v>
      </c>
      <c r="D18" s="51">
        <f>E9</f>
        <v>300</v>
      </c>
      <c r="E18" s="51"/>
      <c r="F18" s="51">
        <f>(B18*C18*D18)</f>
        <v>231</v>
      </c>
      <c r="G18" s="51">
        <f>(F18/100)</f>
        <v>2.31</v>
      </c>
      <c r="H18" s="13">
        <f>ROUND(G18,0)</f>
        <v>2</v>
      </c>
      <c r="I18" s="4"/>
    </row>
    <row r="34" spans="9:10">
      <c r="J34" t="s">
        <v>8</v>
      </c>
    </row>
    <row r="35" spans="9:10">
      <c r="I35" t="s">
        <v>7</v>
      </c>
    </row>
  </sheetData>
  <mergeCells count="2">
    <mergeCell ref="A1:I2"/>
    <mergeCell ref="G3:I3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M8" sqref="M8"/>
    </sheetView>
  </sheetViews>
  <sheetFormatPr defaultRowHeight="15"/>
  <cols>
    <col min="1" max="1" width="11.5703125" customWidth="1"/>
    <col min="2" max="2" width="13.28515625" customWidth="1"/>
    <col min="3" max="3" width="18.140625" customWidth="1"/>
    <col min="4" max="4" width="19.7109375" customWidth="1"/>
    <col min="5" max="5" width="18" customWidth="1"/>
    <col min="6" max="6" width="15.140625" customWidth="1"/>
    <col min="7" max="7" width="17.85546875" customWidth="1"/>
    <col min="8" max="8" width="19.28515625" customWidth="1"/>
    <col min="9" max="9" width="19.140625" customWidth="1"/>
    <col min="10" max="10" width="12.42578125" customWidth="1"/>
    <col min="11" max="11" width="12.140625" customWidth="1"/>
    <col min="12" max="12" width="15.7109375" customWidth="1"/>
  </cols>
  <sheetData>
    <row r="1" spans="1:12" ht="27">
      <c r="A1" s="62" t="s">
        <v>29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12" ht="56.25">
      <c r="A2" s="12" t="s">
        <v>30</v>
      </c>
      <c r="B2" s="23" t="s">
        <v>31</v>
      </c>
      <c r="C2" s="23" t="s">
        <v>32</v>
      </c>
      <c r="D2" s="23" t="s">
        <v>33</v>
      </c>
      <c r="E2" s="24" t="s">
        <v>34</v>
      </c>
      <c r="F2" s="25" t="s">
        <v>35</v>
      </c>
      <c r="G2" s="23" t="s">
        <v>36</v>
      </c>
      <c r="H2" s="12" t="s">
        <v>37</v>
      </c>
      <c r="I2" s="23" t="s">
        <v>38</v>
      </c>
      <c r="J2" s="23" t="s">
        <v>38</v>
      </c>
      <c r="K2" s="26" t="s">
        <v>39</v>
      </c>
      <c r="L2" s="26" t="s">
        <v>40</v>
      </c>
    </row>
    <row r="3" spans="1:12" ht="27.75" customHeight="1">
      <c r="A3" s="12">
        <v>6</v>
      </c>
      <c r="B3" s="23">
        <v>12</v>
      </c>
      <c r="C3" s="23">
        <f>(B3*E3*12)</f>
        <v>32</v>
      </c>
      <c r="D3" s="27">
        <f>(C3/B3)</f>
        <v>2.6666666666666665</v>
      </c>
      <c r="E3" s="28">
        <f>(A3*A3/162)</f>
        <v>0.22222222222222221</v>
      </c>
      <c r="F3" s="29">
        <v>210</v>
      </c>
      <c r="G3" s="12">
        <f t="shared" ref="G3:G11" si="0">(F3/3.28)</f>
        <v>64.024390243902445</v>
      </c>
      <c r="H3" s="12">
        <f>(A3*A3*G3/162)</f>
        <v>14.227642276422765</v>
      </c>
      <c r="I3" s="12">
        <f>(H3/D3)</f>
        <v>5.3353658536585371</v>
      </c>
      <c r="J3" s="30">
        <f>ROUNDUP(I3,0)</f>
        <v>6</v>
      </c>
      <c r="K3" s="12">
        <v>58</v>
      </c>
      <c r="L3" s="12">
        <f>(H3*K3)</f>
        <v>825.20325203252037</v>
      </c>
    </row>
    <row r="4" spans="1:12" ht="27.75" customHeight="1">
      <c r="A4" s="12">
        <v>8</v>
      </c>
      <c r="B4" s="12">
        <v>10</v>
      </c>
      <c r="C4" s="23">
        <v>47</v>
      </c>
      <c r="D4" s="27">
        <f t="shared" ref="D4:D11" si="1">(C4/B4)</f>
        <v>4.7</v>
      </c>
      <c r="E4" s="28">
        <f t="shared" ref="E4:E11" si="2">(A4*A4/162)</f>
        <v>0.39506172839506171</v>
      </c>
      <c r="F4" s="29">
        <v>195</v>
      </c>
      <c r="G4" s="12">
        <f t="shared" si="0"/>
        <v>59.451219512195124</v>
      </c>
      <c r="H4" s="12">
        <f t="shared" ref="H4:H11" si="3">(A4*A4*G4/162)</f>
        <v>23.486901535682023</v>
      </c>
      <c r="I4" s="12">
        <f t="shared" ref="I4:I11" si="4">(H4/D4)</f>
        <v>4.9972130926983027</v>
      </c>
      <c r="J4" s="30">
        <f t="shared" ref="J4:J11" si="5">ROUNDUP(I4,0)</f>
        <v>5</v>
      </c>
      <c r="K4" s="12">
        <v>58</v>
      </c>
      <c r="L4" s="12">
        <f t="shared" ref="L4:L11" si="6">(H4*K4)</f>
        <v>1362.2402890695573</v>
      </c>
    </row>
    <row r="5" spans="1:12" ht="27.75" customHeight="1">
      <c r="A5" s="12">
        <v>10</v>
      </c>
      <c r="B5" s="12">
        <v>7</v>
      </c>
      <c r="C5" s="23">
        <v>53</v>
      </c>
      <c r="D5" s="27">
        <f t="shared" si="1"/>
        <v>7.5714285714285712</v>
      </c>
      <c r="E5" s="28">
        <f t="shared" si="2"/>
        <v>0.61728395061728392</v>
      </c>
      <c r="F5" s="29">
        <v>210</v>
      </c>
      <c r="G5" s="12">
        <f t="shared" si="0"/>
        <v>64.024390243902445</v>
      </c>
      <c r="H5" s="12">
        <f t="shared" si="3"/>
        <v>39.52122854561879</v>
      </c>
      <c r="I5" s="12">
        <f t="shared" si="4"/>
        <v>5.2197849022515381</v>
      </c>
      <c r="J5" s="30">
        <f t="shared" si="5"/>
        <v>6</v>
      </c>
      <c r="K5" s="12">
        <v>58</v>
      </c>
      <c r="L5" s="12">
        <f t="shared" si="6"/>
        <v>2292.2312556458896</v>
      </c>
    </row>
    <row r="6" spans="1:12" ht="27.75" customHeight="1">
      <c r="A6" s="12">
        <v>12</v>
      </c>
      <c r="B6" s="12">
        <v>5</v>
      </c>
      <c r="C6" s="23">
        <v>53.4</v>
      </c>
      <c r="D6" s="27">
        <f t="shared" si="1"/>
        <v>10.68</v>
      </c>
      <c r="E6" s="28">
        <f t="shared" si="2"/>
        <v>0.88888888888888884</v>
      </c>
      <c r="F6" s="29">
        <v>2382</v>
      </c>
      <c r="G6" s="12">
        <f t="shared" si="0"/>
        <v>726.21951219512198</v>
      </c>
      <c r="H6" s="12">
        <f t="shared" si="3"/>
        <v>645.52845528455282</v>
      </c>
      <c r="I6" s="12">
        <f t="shared" si="4"/>
        <v>60.442739258853258</v>
      </c>
      <c r="J6" s="30">
        <f t="shared" si="5"/>
        <v>61</v>
      </c>
      <c r="K6" s="12">
        <v>58</v>
      </c>
      <c r="L6" s="12">
        <f t="shared" si="6"/>
        <v>37440.650406504064</v>
      </c>
    </row>
    <row r="7" spans="1:12" ht="27.75" customHeight="1">
      <c r="A7" s="12">
        <v>16</v>
      </c>
      <c r="B7" s="12">
        <v>3</v>
      </c>
      <c r="C7" s="23">
        <v>56.88</v>
      </c>
      <c r="D7" s="27">
        <f t="shared" si="1"/>
        <v>18.96</v>
      </c>
      <c r="E7" s="28">
        <f t="shared" si="2"/>
        <v>1.5802469135802468</v>
      </c>
      <c r="F7" s="29">
        <v>210</v>
      </c>
      <c r="G7" s="12">
        <f t="shared" si="0"/>
        <v>64.024390243902445</v>
      </c>
      <c r="H7" s="12">
        <f t="shared" si="3"/>
        <v>101.17434507678411</v>
      </c>
      <c r="I7" s="12">
        <f t="shared" si="4"/>
        <v>5.3361996348514822</v>
      </c>
      <c r="J7" s="30">
        <f t="shared" si="5"/>
        <v>6</v>
      </c>
      <c r="K7" s="12">
        <v>58</v>
      </c>
      <c r="L7" s="12">
        <f t="shared" si="6"/>
        <v>5868.112014453478</v>
      </c>
    </row>
    <row r="8" spans="1:12" ht="27.75" customHeight="1">
      <c r="A8" s="12">
        <v>20</v>
      </c>
      <c r="B8" s="12">
        <v>2</v>
      </c>
      <c r="C8" s="23">
        <v>59.2</v>
      </c>
      <c r="D8" s="27">
        <f t="shared" si="1"/>
        <v>29.6</v>
      </c>
      <c r="E8" s="28">
        <f t="shared" si="2"/>
        <v>2.4691358024691357</v>
      </c>
      <c r="F8" s="29">
        <v>210</v>
      </c>
      <c r="G8" s="12">
        <f t="shared" si="0"/>
        <v>64.024390243902445</v>
      </c>
      <c r="H8" s="12">
        <f t="shared" si="3"/>
        <v>158.08491418247516</v>
      </c>
      <c r="I8" s="12">
        <f t="shared" si="4"/>
        <v>5.3407065602187549</v>
      </c>
      <c r="J8" s="30">
        <f t="shared" si="5"/>
        <v>6</v>
      </c>
      <c r="K8" s="12">
        <v>58</v>
      </c>
      <c r="L8" s="12">
        <f t="shared" si="6"/>
        <v>9168.9250225835585</v>
      </c>
    </row>
    <row r="9" spans="1:12" ht="27.75" customHeight="1">
      <c r="A9" s="31">
        <v>25</v>
      </c>
      <c r="B9" s="31">
        <v>1</v>
      </c>
      <c r="C9" s="23">
        <v>46.2</v>
      </c>
      <c r="D9" s="27">
        <f t="shared" si="1"/>
        <v>46.2</v>
      </c>
      <c r="E9" s="28">
        <f t="shared" si="2"/>
        <v>3.8580246913580245</v>
      </c>
      <c r="F9" s="29">
        <v>210</v>
      </c>
      <c r="G9" s="12">
        <f t="shared" si="0"/>
        <v>64.024390243902445</v>
      </c>
      <c r="H9" s="12">
        <f t="shared" si="3"/>
        <v>247.00767841011745</v>
      </c>
      <c r="I9" s="12">
        <f t="shared" si="4"/>
        <v>5.346486545673538</v>
      </c>
      <c r="J9" s="30">
        <f t="shared" si="5"/>
        <v>6</v>
      </c>
      <c r="K9" s="12">
        <v>58</v>
      </c>
      <c r="L9" s="12">
        <f t="shared" si="6"/>
        <v>14326.445347786812</v>
      </c>
    </row>
    <row r="10" spans="1:12" ht="27.75" customHeight="1">
      <c r="A10" s="31">
        <v>28</v>
      </c>
      <c r="B10" s="31">
        <v>1</v>
      </c>
      <c r="C10" s="23">
        <f t="shared" ref="C10:C11" si="7">(B10*E10*12)</f>
        <v>58.074074074074076</v>
      </c>
      <c r="D10" s="27">
        <f t="shared" si="1"/>
        <v>58.074074074074076</v>
      </c>
      <c r="E10" s="28">
        <f t="shared" si="2"/>
        <v>4.8395061728395063</v>
      </c>
      <c r="F10" s="29">
        <v>210</v>
      </c>
      <c r="G10" s="12">
        <f t="shared" si="0"/>
        <v>64.024390243902445</v>
      </c>
      <c r="H10" s="12">
        <f t="shared" si="3"/>
        <v>309.84643179765135</v>
      </c>
      <c r="I10" s="12">
        <f t="shared" si="4"/>
        <v>5.3353658536585371</v>
      </c>
      <c r="J10" s="30">
        <f t="shared" si="5"/>
        <v>6</v>
      </c>
      <c r="K10" s="12">
        <v>58</v>
      </c>
      <c r="L10" s="12">
        <f t="shared" si="6"/>
        <v>17971.093044263776</v>
      </c>
    </row>
    <row r="11" spans="1:12" ht="27.75" customHeight="1">
      <c r="A11" s="31">
        <v>32</v>
      </c>
      <c r="B11" s="31">
        <v>1</v>
      </c>
      <c r="C11" s="23">
        <f t="shared" si="7"/>
        <v>75.851851851851848</v>
      </c>
      <c r="D11" s="27">
        <f t="shared" si="1"/>
        <v>75.851851851851848</v>
      </c>
      <c r="E11" s="28">
        <f t="shared" si="2"/>
        <v>6.3209876543209873</v>
      </c>
      <c r="F11" s="29">
        <v>210</v>
      </c>
      <c r="G11" s="12">
        <f t="shared" si="0"/>
        <v>64.024390243902445</v>
      </c>
      <c r="H11" s="12">
        <f t="shared" si="3"/>
        <v>404.69738030713643</v>
      </c>
      <c r="I11" s="12">
        <f t="shared" si="4"/>
        <v>5.3353658536585371</v>
      </c>
      <c r="J11" s="30">
        <f t="shared" si="5"/>
        <v>6</v>
      </c>
      <c r="K11" s="12">
        <v>58</v>
      </c>
      <c r="L11" s="12">
        <f t="shared" si="6"/>
        <v>23472.448057813912</v>
      </c>
    </row>
    <row r="12" spans="1:12" ht="18.75">
      <c r="A12" s="63"/>
      <c r="B12" s="63"/>
      <c r="C12" s="63"/>
      <c r="D12" s="63"/>
      <c r="E12" s="63"/>
      <c r="F12" s="63"/>
      <c r="G12" s="63"/>
      <c r="H12" s="63"/>
      <c r="I12" s="63"/>
      <c r="J12" s="63"/>
    </row>
    <row r="13" spans="1:12" ht="24.75">
      <c r="A13" s="64" t="s">
        <v>41</v>
      </c>
      <c r="B13" s="64"/>
      <c r="C13" s="64"/>
      <c r="D13" s="64"/>
      <c r="E13" s="64"/>
      <c r="F13" s="64"/>
      <c r="G13" s="64"/>
      <c r="H13" s="64"/>
      <c r="I13" s="64"/>
      <c r="J13" s="64"/>
    </row>
  </sheetData>
  <mergeCells count="3">
    <mergeCell ref="A1:L1"/>
    <mergeCell ref="A12:J12"/>
    <mergeCell ref="A13:J13"/>
  </mergeCells>
  <printOptions horizontalCentered="1" verticalCentered="1"/>
  <pageMargins left="0.45" right="0.45" top="0.75" bottom="0.75" header="0.3" footer="0.3"/>
  <pageSetup paperSize="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topLeftCell="A8" workbookViewId="0">
      <selection activeCell="B23" sqref="B23:L56"/>
    </sheetView>
  </sheetViews>
  <sheetFormatPr defaultRowHeight="15"/>
  <cols>
    <col min="1" max="13" width="13.7109375" customWidth="1"/>
  </cols>
  <sheetData>
    <row r="1" spans="1:14">
      <c r="A1" s="66" t="s">
        <v>42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4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</row>
    <row r="3" spans="1:14" ht="18.75">
      <c r="A3" s="68" t="s">
        <v>43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5" spans="1:14" ht="18.75">
      <c r="A5" s="68" t="s">
        <v>44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</row>
    <row r="6" spans="1:14" ht="18.75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14" ht="18.75">
      <c r="A7" s="68" t="s">
        <v>45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</row>
    <row r="8" spans="1:14" ht="18.75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</row>
    <row r="9" spans="1:14" ht="21">
      <c r="A9" s="68" t="s">
        <v>46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</row>
    <row r="11" spans="1:14" ht="60">
      <c r="A11" s="34" t="s">
        <v>47</v>
      </c>
      <c r="B11" s="34" t="s">
        <v>48</v>
      </c>
      <c r="C11" s="34" t="s">
        <v>49</v>
      </c>
      <c r="D11" s="35" t="s">
        <v>50</v>
      </c>
      <c r="E11" s="34" t="s">
        <v>51</v>
      </c>
      <c r="F11" s="35" t="s">
        <v>52</v>
      </c>
      <c r="G11" s="35" t="s">
        <v>53</v>
      </c>
      <c r="H11" s="36" t="s">
        <v>54</v>
      </c>
      <c r="I11" s="36" t="s">
        <v>55</v>
      </c>
      <c r="J11" s="36" t="s">
        <v>56</v>
      </c>
      <c r="K11" s="37" t="s">
        <v>57</v>
      </c>
      <c r="L11" s="38" t="s">
        <v>58</v>
      </c>
      <c r="M11" s="38" t="s">
        <v>59</v>
      </c>
      <c r="N11" s="39"/>
    </row>
    <row r="12" spans="1:14" ht="30" customHeight="1">
      <c r="A12" s="13">
        <v>350</v>
      </c>
      <c r="B12" s="13">
        <v>300</v>
      </c>
      <c r="C12" s="13">
        <v>25</v>
      </c>
      <c r="D12" s="13">
        <v>8</v>
      </c>
      <c r="E12" s="12">
        <f>(10*D12)</f>
        <v>80</v>
      </c>
      <c r="F12" s="12">
        <f>(3*D12)</f>
        <v>24</v>
      </c>
      <c r="G12" s="12">
        <f>(2*D12)</f>
        <v>16</v>
      </c>
      <c r="H12" s="12">
        <f>(A12-2*C12-D12)</f>
        <v>292</v>
      </c>
      <c r="I12" s="12">
        <f>(B12-2*C12-D12)</f>
        <v>242</v>
      </c>
      <c r="J12" s="12">
        <f>(H12/2)</f>
        <v>146</v>
      </c>
      <c r="K12" s="12">
        <f>(I12/2)</f>
        <v>121</v>
      </c>
      <c r="L12" s="12">
        <f>(J12*J12)</f>
        <v>21316</v>
      </c>
      <c r="M12" s="12">
        <f>(K12*K12)</f>
        <v>14641</v>
      </c>
      <c r="N12" s="40"/>
    </row>
    <row r="13" spans="1:14" ht="30" customHeight="1"/>
    <row r="14" spans="1:14" ht="30" customHeight="1"/>
    <row r="15" spans="1:14" ht="30" customHeight="1"/>
    <row r="16" spans="1:14" ht="30" customHeight="1"/>
    <row r="17" spans="1:14" ht="30" customHeight="1">
      <c r="A17" s="36"/>
      <c r="B17" s="36" t="s">
        <v>60</v>
      </c>
      <c r="C17" s="36"/>
      <c r="D17" s="36" t="s">
        <v>61</v>
      </c>
      <c r="E17" s="36"/>
      <c r="F17" s="65" t="s">
        <v>62</v>
      </c>
      <c r="G17" s="65"/>
      <c r="H17" s="36"/>
      <c r="I17" s="65" t="s">
        <v>63</v>
      </c>
      <c r="J17" s="65"/>
      <c r="K17" s="65" t="s">
        <v>64</v>
      </c>
      <c r="L17" s="65"/>
      <c r="M17" s="65" t="s">
        <v>65</v>
      </c>
      <c r="N17" s="65"/>
    </row>
    <row r="18" spans="1:14" ht="30" customHeight="1">
      <c r="A18" s="12"/>
      <c r="B18" s="12">
        <f>(L12+M12)</f>
        <v>35957</v>
      </c>
      <c r="C18" s="12"/>
      <c r="D18" s="12">
        <f>SQRT(B18)</f>
        <v>189.62331080328704</v>
      </c>
      <c r="E18" s="12"/>
      <c r="F18" s="71">
        <f>(4*D18+2*E12-3*G12-2*F12)</f>
        <v>822.49324321314816</v>
      </c>
      <c r="G18" s="71"/>
      <c r="H18" s="12"/>
      <c r="I18" s="71">
        <f>ROUNDUP(F18,0)</f>
        <v>823</v>
      </c>
      <c r="J18" s="71"/>
      <c r="K18" s="71">
        <f>(I18/1000)</f>
        <v>0.82299999999999995</v>
      </c>
      <c r="L18" s="71"/>
      <c r="M18" s="71">
        <f>(I18/25.4)</f>
        <v>32.401574803149607</v>
      </c>
      <c r="N18" s="71"/>
    </row>
    <row r="19" spans="1:14" ht="30" customHeight="1"/>
    <row r="20" spans="1:14" ht="30" customHeight="1">
      <c r="E20" s="41"/>
      <c r="F20" s="42"/>
      <c r="G20" s="42"/>
    </row>
    <row r="21" spans="1:14" ht="30" customHeight="1">
      <c r="A21" s="43"/>
      <c r="B21" s="43"/>
      <c r="C21" s="72" t="s">
        <v>66</v>
      </c>
      <c r="D21" s="72"/>
      <c r="E21" s="73" t="s">
        <v>67</v>
      </c>
      <c r="F21" s="74"/>
      <c r="G21" s="74"/>
      <c r="H21" s="74"/>
      <c r="I21" s="75"/>
      <c r="J21" s="72" t="s">
        <v>68</v>
      </c>
      <c r="K21" s="72"/>
      <c r="L21" s="44"/>
      <c r="M21" s="43"/>
      <c r="N21" s="43"/>
    </row>
    <row r="23" spans="1:14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</row>
    <row r="24" spans="1:14"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</row>
    <row r="25" spans="1:14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</row>
    <row r="26" spans="1:14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</row>
    <row r="27" spans="1:14"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</row>
    <row r="28" spans="1:14"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</row>
    <row r="29" spans="1:14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</row>
    <row r="30" spans="1:14"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</row>
    <row r="31" spans="1:14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</row>
    <row r="32" spans="1:14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</row>
    <row r="33" spans="2:12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</row>
    <row r="34" spans="2:12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</row>
    <row r="35" spans="2:12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</row>
    <row r="36" spans="2:12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</row>
    <row r="37" spans="2:12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</row>
    <row r="38" spans="2:12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</row>
    <row r="39" spans="2:12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</row>
    <row r="40" spans="2:12"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</row>
    <row r="41" spans="2:12"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</row>
    <row r="42" spans="2:12"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</row>
    <row r="43" spans="2:12"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</row>
    <row r="44" spans="2:12"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</row>
    <row r="45" spans="2:12"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</row>
    <row r="46" spans="2:12"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</row>
    <row r="47" spans="2:12"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</row>
    <row r="48" spans="2:12"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</row>
    <row r="49" spans="2:12"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</row>
    <row r="50" spans="2:12"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</row>
    <row r="51" spans="2:12"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</row>
    <row r="52" spans="2:12"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</row>
    <row r="53" spans="2:12"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</row>
    <row r="54" spans="2:12"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</row>
    <row r="55" spans="2:12"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</row>
    <row r="56" spans="2:12"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</row>
  </sheetData>
  <mergeCells count="17">
    <mergeCell ref="B23:L56"/>
    <mergeCell ref="F18:G18"/>
    <mergeCell ref="I18:J18"/>
    <mergeCell ref="K18:L18"/>
    <mergeCell ref="M18:N18"/>
    <mergeCell ref="C21:D21"/>
    <mergeCell ref="E21:I21"/>
    <mergeCell ref="J21:K21"/>
    <mergeCell ref="F17:G17"/>
    <mergeCell ref="I17:J17"/>
    <mergeCell ref="K17:L17"/>
    <mergeCell ref="M17:N17"/>
    <mergeCell ref="A1:M2"/>
    <mergeCell ref="A3:L3"/>
    <mergeCell ref="A5:L5"/>
    <mergeCell ref="A7:L7"/>
    <mergeCell ref="A9:L9"/>
  </mergeCells>
  <pageMargins left="0.7" right="0.7" top="0.75" bottom="0.75" header="0.3" footer="0.3"/>
  <pageSetup paperSize="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selection activeCell="M8" sqref="M8"/>
    </sheetView>
  </sheetViews>
  <sheetFormatPr defaultRowHeight="15"/>
  <cols>
    <col min="2" max="13" width="13.7109375" customWidth="1"/>
  </cols>
  <sheetData>
    <row r="1" spans="1:13">
      <c r="A1" s="66" t="s">
        <v>69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</row>
    <row r="3" spans="1:13" ht="23.25" customHeight="1">
      <c r="B3" s="76" t="s">
        <v>70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ht="23.25" customHeight="1">
      <c r="B4" s="76" t="s">
        <v>71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ht="23.25" customHeight="1">
      <c r="B5" s="76" t="s">
        <v>72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ht="23.25" customHeight="1"/>
    <row r="7" spans="1:13" ht="68.25" customHeight="1">
      <c r="A7" s="45"/>
      <c r="B7" s="46" t="s">
        <v>73</v>
      </c>
      <c r="C7" s="46" t="s">
        <v>74</v>
      </c>
      <c r="D7" s="47" t="s">
        <v>49</v>
      </c>
      <c r="E7" s="46" t="s">
        <v>50</v>
      </c>
      <c r="F7" s="46" t="s">
        <v>51</v>
      </c>
      <c r="G7" s="46" t="s">
        <v>52</v>
      </c>
      <c r="H7" s="46" t="s">
        <v>53</v>
      </c>
      <c r="I7" s="48" t="s">
        <v>54</v>
      </c>
      <c r="J7" s="48" t="s">
        <v>55</v>
      </c>
      <c r="K7" s="46" t="s">
        <v>75</v>
      </c>
      <c r="L7" s="49" t="s">
        <v>76</v>
      </c>
      <c r="M7" s="49" t="s">
        <v>77</v>
      </c>
    </row>
    <row r="8" spans="1:13" ht="42" customHeight="1">
      <c r="B8" s="50">
        <v>400</v>
      </c>
      <c r="C8" s="50">
        <v>300</v>
      </c>
      <c r="D8" s="50">
        <v>40</v>
      </c>
      <c r="E8" s="50">
        <v>8</v>
      </c>
      <c r="F8" s="50">
        <f>(10*E8)</f>
        <v>80</v>
      </c>
      <c r="G8" s="50">
        <f>(3*E8)</f>
        <v>24</v>
      </c>
      <c r="H8" s="50">
        <f>(2*E8)</f>
        <v>16</v>
      </c>
      <c r="I8" s="50">
        <f>(B8-2*D8-E8)</f>
        <v>312</v>
      </c>
      <c r="J8" s="50">
        <f>(C8-2*D8-E8)</f>
        <v>212</v>
      </c>
      <c r="K8" s="50">
        <f>(2*I8+2*J8+2*F8-3*H8-2*G8)</f>
        <v>1112</v>
      </c>
      <c r="L8" s="12">
        <f>(K8/1000)</f>
        <v>1.1120000000000001</v>
      </c>
      <c r="M8" s="12">
        <f>(K8/25.4)</f>
        <v>43.779527559055119</v>
      </c>
    </row>
    <row r="9" spans="1:13" ht="23.25" customHeight="1"/>
    <row r="10" spans="1:13" ht="23.25" customHeight="1"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</row>
    <row r="11" spans="1:13" ht="23.25" customHeight="1"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</row>
    <row r="12" spans="1:13" ht="23.25" customHeight="1"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</row>
    <row r="13" spans="1:13" ht="23.25" customHeight="1"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</row>
    <row r="14" spans="1:13" ht="23.25" customHeight="1"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</row>
    <row r="15" spans="1:13" ht="23.25" customHeight="1"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</row>
    <row r="16" spans="1:13" ht="23.25" customHeight="1"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</row>
    <row r="17" spans="2:12" ht="23.25" customHeight="1"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</row>
    <row r="18" spans="2:12" ht="23.25" customHeight="1"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</row>
    <row r="19" spans="2:12" ht="23.25" customHeight="1"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</row>
    <row r="20" spans="2:12" ht="23.25" customHeight="1"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</row>
    <row r="21" spans="2:12" ht="23.25" customHeight="1"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</row>
    <row r="22" spans="2:12" ht="23.25" customHeight="1"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</row>
    <row r="23" spans="2:12" ht="23.25" customHeight="1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</row>
    <row r="24" spans="2:12" ht="23.25" customHeight="1"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</row>
    <row r="25" spans="2:12" ht="23.25" customHeight="1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</row>
    <row r="26" spans="2:12" ht="23.25" customHeight="1"/>
    <row r="27" spans="2:12" ht="23.25" customHeight="1"/>
  </sheetData>
  <mergeCells count="5">
    <mergeCell ref="A1:M2"/>
    <mergeCell ref="B3:M3"/>
    <mergeCell ref="B4:M4"/>
    <mergeCell ref="B5:M5"/>
    <mergeCell ref="B10:L25"/>
  </mergeCells>
  <pageMargins left="0.7" right="0.7" top="0.75" bottom="0.7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M-5</vt:lpstr>
      <vt:lpstr>M-7</vt:lpstr>
      <vt:lpstr>M-10</vt:lpstr>
      <vt:lpstr>M-15</vt:lpstr>
      <vt:lpstr>M-20</vt:lpstr>
      <vt:lpstr>M-25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Elamurugan GR</cp:lastModifiedBy>
  <cp:lastPrinted>2020-04-12T15:27:07Z</cp:lastPrinted>
  <dcterms:created xsi:type="dcterms:W3CDTF">2020-04-10T01:53:40Z</dcterms:created>
  <dcterms:modified xsi:type="dcterms:W3CDTF">2020-06-30T11:26:49Z</dcterms:modified>
</cp:coreProperties>
</file>