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8" i="1"/>
  <c r="J8"/>
  <c r="I8"/>
  <c r="H8"/>
  <c r="G8"/>
  <c r="F8"/>
  <c r="K8" l="1"/>
  <c r="L8" s="1"/>
</calcChain>
</file>

<file path=xl/sharedStrings.xml><?xml version="1.0" encoding="utf-8"?>
<sst xmlns="http://schemas.openxmlformats.org/spreadsheetml/2006/main" count="16" uniqueCount="16">
  <si>
    <t>Cutting length of Rectangular Stirrup</t>
  </si>
  <si>
    <t>Formula =2(a+b)+2( hook length)-3(90 degree bend)-2 ( 135 degree bend)</t>
  </si>
  <si>
    <t>a=Breath of the Beam-( 2×clear cover)-( one time Dia of stirrup steel bar)</t>
  </si>
  <si>
    <t>b=Depth of the Beam-( 2×clear cover)-( one time Dia of stirrup steel bar)</t>
  </si>
  <si>
    <t>Breath (mm))</t>
  </si>
  <si>
    <t>Depth (mm)</t>
  </si>
  <si>
    <t>Clear cover</t>
  </si>
  <si>
    <t>Hook length-10 d</t>
  </si>
  <si>
    <t>135 degree bend  3d</t>
  </si>
  <si>
    <t>90 degree bend  2d</t>
  </si>
  <si>
    <t xml:space="preserve">one time Dia of stirrup steel bar </t>
  </si>
  <si>
    <t>a</t>
  </si>
  <si>
    <t>b</t>
  </si>
  <si>
    <t>Cutting length (mm)</t>
  </si>
  <si>
    <t>Cutting length (meter)</t>
  </si>
  <si>
    <t>Cutting length (inches)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</si>
</sst>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9</xdr:row>
      <xdr:rowOff>76059</xdr:rowOff>
    </xdr:from>
    <xdr:to>
      <xdr:col>9</xdr:col>
      <xdr:colOff>219076</xdr:colOff>
      <xdr:row>24</xdr:row>
      <xdr:rowOff>127541</xdr:rowOff>
    </xdr:to>
    <xdr:pic>
      <xdr:nvPicPr>
        <xdr:cNvPr id="2" name="Picture 1" descr="45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1150" y="3285984"/>
          <a:ext cx="4114801" cy="2908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selection activeCell="B10" sqref="B10:L25"/>
    </sheetView>
  </sheetViews>
  <sheetFormatPr defaultRowHeight="15"/>
  <cols>
    <col min="1" max="1" width="5.42578125" customWidth="1"/>
    <col min="2" max="2" width="10.5703125" customWidth="1"/>
    <col min="3" max="3" width="8.5703125" customWidth="1"/>
    <col min="4" max="4" width="12.85546875" customWidth="1"/>
    <col min="5" max="7" width="7.5703125" customWidth="1"/>
    <col min="11" max="11" width="15.85546875" customWidth="1"/>
    <col min="12" max="12" width="18.7109375" customWidth="1"/>
    <col min="13" max="13" width="15.5703125" customWidth="1"/>
  </cols>
  <sheetData>
    <row r="1" spans="1:1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1.5" customHeight="1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customHeight="1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customHeight="1">
      <c r="B5" s="11" t="s">
        <v>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18" customHeight="1"/>
    <row r="7" spans="1:13" s="1" customFormat="1" ht="63.75" customHeight="1">
      <c r="B7" s="2" t="s">
        <v>4</v>
      </c>
      <c r="C7" s="2" t="s">
        <v>5</v>
      </c>
      <c r="D7" s="3" t="s">
        <v>6</v>
      </c>
      <c r="E7" s="2" t="s">
        <v>10</v>
      </c>
      <c r="F7" s="2" t="s">
        <v>7</v>
      </c>
      <c r="G7" s="2" t="s">
        <v>8</v>
      </c>
      <c r="H7" s="2" t="s">
        <v>9</v>
      </c>
      <c r="I7" s="4" t="s">
        <v>11</v>
      </c>
      <c r="J7" s="4" t="s">
        <v>12</v>
      </c>
      <c r="K7" s="2" t="s">
        <v>13</v>
      </c>
      <c r="L7" s="5" t="s">
        <v>14</v>
      </c>
      <c r="M7" s="5" t="s">
        <v>15</v>
      </c>
    </row>
    <row r="8" spans="1:13" ht="31.5" customHeight="1">
      <c r="B8" s="6">
        <v>400</v>
      </c>
      <c r="C8" s="6">
        <v>300</v>
      </c>
      <c r="D8" s="6">
        <v>40</v>
      </c>
      <c r="E8" s="6">
        <v>8</v>
      </c>
      <c r="F8" s="6">
        <f>(10*E8)</f>
        <v>80</v>
      </c>
      <c r="G8" s="6">
        <f>(3*E8)</f>
        <v>24</v>
      </c>
      <c r="H8" s="6">
        <f>(2*E8)</f>
        <v>16</v>
      </c>
      <c r="I8" s="6">
        <f>(B8-2*D8-E8)</f>
        <v>312</v>
      </c>
      <c r="J8" s="6">
        <f>(C8-2*D8-E8)</f>
        <v>212</v>
      </c>
      <c r="K8" s="6">
        <f>(2*I8+2*J8+2*F8-3*H8-2*G8)</f>
        <v>1112</v>
      </c>
      <c r="L8" s="7">
        <f>(K8/1000)</f>
        <v>1.1120000000000001</v>
      </c>
      <c r="M8" s="7">
        <f>(K8/25.4)</f>
        <v>43.779527559055119</v>
      </c>
    </row>
    <row r="10" spans="1:13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3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3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3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3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2:1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1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2:1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2:1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</sheetData>
  <mergeCells count="5">
    <mergeCell ref="A1:M2"/>
    <mergeCell ref="B10:L25"/>
    <mergeCell ref="B3:M3"/>
    <mergeCell ref="B4:M4"/>
    <mergeCell ref="B5:M5"/>
  </mergeCells>
  <pageMargins left="0.7" right="0.7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2020-04-12T04:04:38Z</dcterms:created>
  <dcterms:modified xsi:type="dcterms:W3CDTF">2020-04-12T09:16:37Z</dcterms:modified>
</cp:coreProperties>
</file>