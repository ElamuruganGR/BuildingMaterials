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Sheet1!$A$1:$N$24</definedName>
  </definedNames>
  <calcPr calcId="124519"/>
</workbook>
</file>

<file path=xl/calcChain.xml><?xml version="1.0" encoding="utf-8"?>
<calcChain xmlns="http://schemas.openxmlformats.org/spreadsheetml/2006/main">
  <c r="H12" i="1"/>
  <c r="J12" s="1"/>
  <c r="L12" s="1"/>
  <c r="G12"/>
  <c r="F12"/>
  <c r="E12"/>
  <c r="I12"/>
  <c r="K12" s="1"/>
  <c r="M12" s="1"/>
  <c r="B18" l="1"/>
  <c r="D18" s="1"/>
  <c r="F18" s="1"/>
  <c r="I18" s="1"/>
  <c r="M18" l="1"/>
  <c r="K18"/>
</calcChain>
</file>

<file path=xl/sharedStrings.xml><?xml version="1.0" encoding="utf-8"?>
<sst xmlns="http://schemas.openxmlformats.org/spreadsheetml/2006/main" count="27" uniqueCount="27">
  <si>
    <t>Clear cover</t>
  </si>
  <si>
    <t>Hook length-10 d</t>
  </si>
  <si>
    <t>135 degree bend  3d</t>
  </si>
  <si>
    <t>90 degree bend  2d</t>
  </si>
  <si>
    <t xml:space="preserve">one time Dia of stirrup steel bar </t>
  </si>
  <si>
    <t>a</t>
  </si>
  <si>
    <t>b</t>
  </si>
  <si>
    <t>Formula =4(x)+2( hook length)-3(90 degree bend)-2 ( 135 degree bend)</t>
  </si>
  <si>
    <t>a=Length - 2( clear cover) - one time Dia of stirrup steel bar</t>
  </si>
  <si>
    <t>b=Breath-2( clear cover)-one time Dia of stirrup steel bar</t>
  </si>
  <si>
    <t>Breath (mm)</t>
  </si>
  <si>
    <t>Length (mm))</t>
  </si>
  <si>
    <t>x</t>
  </si>
  <si>
    <t>a/2</t>
  </si>
  <si>
    <t>b/2</t>
  </si>
  <si>
    <t>CUTTING LENGTH</t>
  </si>
  <si>
    <t>CUTTING LENGTH (mm)</t>
  </si>
  <si>
    <r>
      <t>x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=(a/2)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+(b/2)</t>
    </r>
    <r>
      <rPr>
        <b/>
        <vertAlign val="superscript"/>
        <sz val="14"/>
        <color theme="1"/>
        <rFont val="Calibri"/>
        <family val="2"/>
        <scheme val="minor"/>
      </rPr>
      <t>2</t>
    </r>
  </si>
  <si>
    <r>
      <t>(a/2)</t>
    </r>
    <r>
      <rPr>
        <b/>
        <vertAlign val="superscript"/>
        <sz val="12"/>
        <color theme="1"/>
        <rFont val="Arial Black"/>
        <family val="2"/>
      </rPr>
      <t>2</t>
    </r>
  </si>
  <si>
    <r>
      <t>(b/2)</t>
    </r>
    <r>
      <rPr>
        <b/>
        <vertAlign val="superscript"/>
        <sz val="12"/>
        <color theme="1"/>
        <rFont val="Arial Black"/>
        <family val="2"/>
      </rPr>
      <t>2</t>
    </r>
  </si>
  <si>
    <r>
      <t>x</t>
    </r>
    <r>
      <rPr>
        <b/>
        <vertAlign val="superscript"/>
        <sz val="11"/>
        <color theme="1"/>
        <rFont val="Arial Black"/>
        <family val="2"/>
      </rPr>
      <t>2</t>
    </r>
  </si>
  <si>
    <t>Cutting length of  a Diamond Stirrup</t>
  </si>
  <si>
    <t>CUTTING LENGTH (meter)</t>
  </si>
  <si>
    <t>mm</t>
  </si>
  <si>
    <t>divde mm/25.4 = inches</t>
  </si>
  <si>
    <t>inches</t>
  </si>
  <si>
    <t>CUTTING LENGTH (inches)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</si>
</sst>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  <font>
      <b/>
      <vertAlign val="superscript"/>
      <sz val="14"/>
      <color theme="1"/>
      <name val="Calibri"/>
      <family val="2"/>
      <scheme val="minor"/>
    </font>
    <font>
      <b/>
      <vertAlign val="superscript"/>
      <sz val="12"/>
      <color theme="1"/>
      <name val="Arial Black"/>
      <family val="2"/>
    </font>
    <font>
      <b/>
      <vertAlign val="superscript"/>
      <sz val="11"/>
      <color theme="1"/>
      <name val="Arial Black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13" fillId="0" borderId="0" xfId="0" applyFont="1" applyAlignment="1"/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view="pageBreakPreview" zoomScaleSheetLayoutView="100" workbookViewId="0">
      <selection activeCell="J21" sqref="J21:K21"/>
    </sheetView>
  </sheetViews>
  <sheetFormatPr defaultRowHeight="15"/>
  <cols>
    <col min="1" max="1" width="9.7109375" customWidth="1"/>
    <col min="2" max="2" width="9.85546875" customWidth="1"/>
    <col min="3" max="3" width="10.140625" customWidth="1"/>
    <col min="4" max="4" width="15.28515625" customWidth="1"/>
    <col min="5" max="5" width="8.85546875" customWidth="1"/>
    <col min="6" max="6" width="9.7109375" customWidth="1"/>
    <col min="7" max="7" width="9.85546875" customWidth="1"/>
    <col min="8" max="8" width="6.28515625" customWidth="1"/>
    <col min="9" max="9" width="6.85546875" customWidth="1"/>
    <col min="10" max="10" width="9.5703125" customWidth="1"/>
    <col min="11" max="11" width="6.140625" customWidth="1"/>
    <col min="12" max="12" width="9.85546875" customWidth="1"/>
    <col min="13" max="13" width="16.42578125" customWidth="1"/>
  </cols>
  <sheetData>
    <row r="1" spans="1:14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4" ht="18.75">
      <c r="A3" s="18" t="s">
        <v>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5" spans="1:14" ht="18.75">
      <c r="A5" s="18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4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4" ht="18.75">
      <c r="A7" s="18" t="s">
        <v>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4" ht="18.7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4" ht="21">
      <c r="A9" s="18" t="s">
        <v>17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1" spans="1:14" s="3" customFormat="1" ht="99" customHeight="1">
      <c r="A11" s="9" t="s">
        <v>11</v>
      </c>
      <c r="B11" s="9" t="s">
        <v>10</v>
      </c>
      <c r="C11" s="9" t="s">
        <v>0</v>
      </c>
      <c r="D11" s="10" t="s">
        <v>4</v>
      </c>
      <c r="E11" s="9" t="s">
        <v>1</v>
      </c>
      <c r="F11" s="10" t="s">
        <v>2</v>
      </c>
      <c r="G11" s="10" t="s">
        <v>3</v>
      </c>
      <c r="H11" s="11" t="s">
        <v>5</v>
      </c>
      <c r="I11" s="11" t="s">
        <v>6</v>
      </c>
      <c r="J11" s="11" t="s">
        <v>13</v>
      </c>
      <c r="K11" s="12" t="s">
        <v>14</v>
      </c>
      <c r="L11" s="14" t="s">
        <v>18</v>
      </c>
      <c r="M11" s="14" t="s">
        <v>19</v>
      </c>
      <c r="N11" s="6"/>
    </row>
    <row r="12" spans="1:14" s="7" customFormat="1" ht="29.25" customHeight="1">
      <c r="A12" s="15">
        <v>350</v>
      </c>
      <c r="B12" s="15">
        <v>300</v>
      </c>
      <c r="C12" s="15">
        <v>25</v>
      </c>
      <c r="D12" s="15">
        <v>8</v>
      </c>
      <c r="E12" s="13">
        <f>(10*D12)</f>
        <v>80</v>
      </c>
      <c r="F12" s="13">
        <f>(3*D12)</f>
        <v>24</v>
      </c>
      <c r="G12" s="13">
        <f>(2*D12)</f>
        <v>16</v>
      </c>
      <c r="H12" s="13">
        <f>(A12-2*C12-D12)</f>
        <v>292</v>
      </c>
      <c r="I12" s="13">
        <f>(B12-2*C12-D12)</f>
        <v>242</v>
      </c>
      <c r="J12" s="13">
        <f>(H12/2)</f>
        <v>146</v>
      </c>
      <c r="K12" s="13">
        <f>(I12/2)</f>
        <v>121</v>
      </c>
      <c r="L12" s="13">
        <f>(J12*J12)</f>
        <v>21316</v>
      </c>
      <c r="M12" s="13">
        <f>(K12*K12)</f>
        <v>14641</v>
      </c>
    </row>
    <row r="16" spans="1:14" ht="3.75" customHeight="1"/>
    <row r="17" spans="1:14" s="8" customFormat="1" ht="60" customHeight="1">
      <c r="A17" s="11"/>
      <c r="B17" s="11" t="s">
        <v>20</v>
      </c>
      <c r="C17" s="11"/>
      <c r="D17" s="11" t="s">
        <v>12</v>
      </c>
      <c r="E17" s="11"/>
      <c r="F17" s="21" t="s">
        <v>15</v>
      </c>
      <c r="G17" s="21"/>
      <c r="H17" s="11"/>
      <c r="I17" s="21" t="s">
        <v>16</v>
      </c>
      <c r="J17" s="21"/>
      <c r="K17" s="21" t="s">
        <v>22</v>
      </c>
      <c r="L17" s="21"/>
      <c r="M17" s="21" t="s">
        <v>26</v>
      </c>
      <c r="N17" s="21"/>
    </row>
    <row r="18" spans="1:14" ht="33.75" customHeight="1">
      <c r="A18" s="13"/>
      <c r="B18" s="13">
        <f>(L12+M12)</f>
        <v>35957</v>
      </c>
      <c r="C18" s="13"/>
      <c r="D18" s="13">
        <f>SQRT(B18)</f>
        <v>189.62331080328704</v>
      </c>
      <c r="E18" s="13"/>
      <c r="F18" s="20">
        <f>(4*D18+2*E12-3*G12-2*F12)</f>
        <v>822.49324321314816</v>
      </c>
      <c r="G18" s="20"/>
      <c r="H18" s="13"/>
      <c r="I18" s="20">
        <f>ROUNDUP(F18,0)</f>
        <v>823</v>
      </c>
      <c r="J18" s="20"/>
      <c r="K18" s="20">
        <f>(I18/1000)</f>
        <v>0.82299999999999995</v>
      </c>
      <c r="L18" s="20"/>
      <c r="M18" s="20">
        <f>(I18/25.4)</f>
        <v>32.401574803149607</v>
      </c>
      <c r="N18" s="20"/>
    </row>
    <row r="20" spans="1:14">
      <c r="E20" s="4"/>
      <c r="F20" s="2"/>
      <c r="G20" s="2"/>
    </row>
    <row r="21" spans="1:14" s="22" customFormat="1" ht="21">
      <c r="C21" s="24" t="s">
        <v>23</v>
      </c>
      <c r="D21" s="24"/>
      <c r="E21" s="25" t="s">
        <v>24</v>
      </c>
      <c r="F21" s="26"/>
      <c r="G21" s="26"/>
      <c r="H21" s="26"/>
      <c r="I21" s="27"/>
      <c r="J21" s="24" t="s">
        <v>25</v>
      </c>
      <c r="K21" s="24"/>
      <c r="L21" s="23"/>
    </row>
  </sheetData>
  <mergeCells count="16">
    <mergeCell ref="C21:D21"/>
    <mergeCell ref="J21:K21"/>
    <mergeCell ref="E21:I21"/>
    <mergeCell ref="A1:M2"/>
    <mergeCell ref="A3:L3"/>
    <mergeCell ref="A5:L5"/>
    <mergeCell ref="A7:L7"/>
    <mergeCell ref="F18:G18"/>
    <mergeCell ref="F17:G17"/>
    <mergeCell ref="I17:J17"/>
    <mergeCell ref="I18:J18"/>
    <mergeCell ref="K17:L17"/>
    <mergeCell ref="K18:L18"/>
    <mergeCell ref="A9:L9"/>
    <mergeCell ref="M17:N17"/>
    <mergeCell ref="M18:N18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2020-04-12T04:04:38Z</dcterms:created>
  <dcterms:modified xsi:type="dcterms:W3CDTF">2020-04-12T09:11:27Z</dcterms:modified>
</cp:coreProperties>
</file>